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Projects - projects-export-2025" sheetId="2" r:id="rId6"/>
    <sheet name="Dashboard" sheetId="3" r:id="rId7"/>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<sst xmlns="http://schemas.openxmlformats.org/spreadsheetml/2006/main" uniqueCount="75">
  <si>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</si>
  <si>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</si>
  <si>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</si>
  <si>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</si>
  <si>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Projects</t>
  </si>
  <si>
    <t>projects-export-2025-12-17</t>
  </si>
  <si>
    <r>
      <rPr>
        <u val="single"/>
        <sz val="12"/>
        <color indexed="12"/>
        <rFont val="Helvetica Neue"/>
      </rPr>
      <t>Projects - projects-export-2025</t>
    </r>
  </si>
  <si>
    <t>Dashboard</t>
  </si>
  <si>
    <t>Table 1</t>
  </si>
  <si>
    <r>
      <rPr>
        <u val="single"/>
        <sz val="12"/>
        <color indexed="12"/>
        <rFont val="Helvetica Neue"/>
      </rPr>
      <t>Dashboard</t>
    </r>
  </si>
  <si>
    <t>Name</t>
  </si>
  <si>
    <t>Phase</t>
  </si>
  <si>
    <t>Cost</t>
  </si>
  <si>
    <t>Effort</t>
  </si>
  <si>
    <t>Benefit</t>
  </si>
  <si>
    <t>Start Date</t>
  </si>
  <si>
    <t>End Date</t>
  </si>
  <si>
    <t>NMS Date</t>
  </si>
  <si>
    <t>Health</t>
  </si>
  <si>
    <t>Project Days</t>
  </si>
  <si>
    <t>Daily $</t>
  </si>
  <si>
    <t>Daily Effort</t>
  </si>
  <si>
    <t>Filter Start</t>
  </si>
  <si>
    <t>Filter End</t>
  </si>
  <si>
    <t>Filter Days</t>
  </si>
  <si>
    <t>Filter $</t>
  </si>
  <si>
    <t>Filter Effort</t>
  </si>
  <si>
    <t>SEL 2025</t>
  </si>
  <si>
    <t>Delivery</t>
  </si>
  <si>
    <t>Healthy</t>
  </si>
  <si>
    <t>2025 Existing Program #1</t>
  </si>
  <si>
    <t>GNB Audit</t>
  </si>
  <si>
    <t>2025-24-01</t>
  </si>
  <si>
    <t>Caution</t>
  </si>
  <si>
    <t>Priority Pilot</t>
  </si>
  <si>
    <t>2025-15-04</t>
  </si>
  <si>
    <t>Fundraising25</t>
  </si>
  <si>
    <t>Danger</t>
  </si>
  <si>
    <t>School Support Program 25</t>
  </si>
  <si>
    <t>RISK1</t>
  </si>
  <si>
    <t>2025-31-03</t>
  </si>
  <si>
    <t>2025 Admin</t>
  </si>
  <si>
    <t>Digital Donor</t>
  </si>
  <si>
    <t>Seniors Conference 2025</t>
  </si>
  <si>
    <t>Discovery</t>
  </si>
  <si>
    <t>2025-21-04</t>
  </si>
  <si>
    <t>Youth Community</t>
  </si>
  <si>
    <t>Close Books for FY24</t>
  </si>
  <si>
    <t>Done</t>
  </si>
  <si>
    <t>ACGP Funding</t>
  </si>
  <si>
    <t xml:space="preserve"> </t>
  </si>
  <si>
    <t>AGM2025</t>
  </si>
  <si>
    <t>Planning</t>
  </si>
  <si>
    <t>2025-24-09</t>
  </si>
  <si>
    <t>New Women's Program</t>
  </si>
  <si>
    <t>2025-24-06</t>
  </si>
  <si>
    <t>Strat Plan 2030</t>
  </si>
  <si>
    <t>Youth Conference 2025</t>
  </si>
  <si>
    <t>2025-10-07</t>
  </si>
  <si>
    <t>Start</t>
  </si>
  <si>
    <t>End</t>
  </si>
  <si>
    <t>Number of Days</t>
  </si>
  <si>
    <t>Default Annual Cost</t>
  </si>
  <si>
    <t>Calc Budget</t>
  </si>
  <si>
    <t>$USED</t>
  </si>
  <si>
    <t>$ left</t>
  </si>
  <si>
    <t>Default Effort</t>
  </si>
  <si>
    <t>Effort Used</t>
  </si>
  <si>
    <t>Calculated BGT Effort</t>
  </si>
  <si>
    <t>Effort Left</t>
  </si>
  <si>
    <t>%Cost</t>
  </si>
  <si>
    <t>%Effort</t>
  </si>
  <si>
    <t>Dashboard Totals</t>
  </si>
  <si>
    <t>Inititalives</t>
  </si>
  <si>
    <t>Total Used</t>
  </si>
</sst>
</file>

<file path=xl/styles.xml><?xml version="1.0" encoding="utf-8"?>
<styleSheet xmlns="http://schemas.openxmlformats.org/spreadsheetml/2006/main">
  <numFmts count="6">
    <numFmt numFmtId="0" formatCode="General"/>
    <numFmt numFmtId="59" formatCode="&quot;$&quot;#,##0.00"/>
    <numFmt numFmtId="60" formatCode="yyyy&quot;-&quot;mm&quot;-&quot;dd"/>
    <numFmt numFmtId="61" formatCode="&quot;$&quot;0"/>
    <numFmt numFmtId="62" formatCode="&quot;$&quot;#,##0"/>
    <numFmt numFmtId="63" formatCode="&quot;$&quot;0.00"/>
  </numFmts>
  <fonts count="6">
    <font>
      <sz val="10"/>
      <color indexed="8"/>
      <name val="Helvetica Neue"/>
    </font>
    <font>
      <sz val="12"/>
      <color indexed="8"/>
      <name val="Helvetica Neue"/>
    </font>
    <font>
      <sz val="15"/>
      <color indexed="8"/>
      <name val="Calibri"/>
    </font>
    <font>
      <sz val="14"/>
      <color indexed="8"/>
      <name val="Helvetica Neue"/>
    </font>
    <font>
      <u val="single"/>
      <sz val="12"/>
      <color indexed="12"/>
      <name val="Helvetica Neue"/>
    </font>
    <font>
      <b val="1"/>
      <sz val="10"/>
      <color indexed="8"/>
      <name val="Helvetica Neue"/>
    </font>
  </fonts>
  <fills count="10">
    <fill>
      <patternFill patternType="none"/>
    </fill>
    <fill>
      <patternFill patternType="gray125"/>
    </fill>
    <fill>
      <patternFill patternType="solid">
        <fgColor indexed="10"/>
        <bgColor auto="1"/>
      </patternFill>
    </fill>
    <fill>
      <patternFill patternType="solid">
        <fgColor indexed="11"/>
        <bgColor auto="1"/>
      </patternFill>
    </fill>
    <fill>
      <patternFill patternType="solid">
        <fgColor indexed="13"/>
        <bgColor auto="1"/>
      </patternFill>
    </fill>
    <fill>
      <patternFill patternType="solid">
        <fgColor indexed="15"/>
        <bgColor auto="1"/>
      </patternFill>
    </fill>
    <fill>
      <patternFill patternType="solid">
        <fgColor indexed="17"/>
        <bgColor auto="1"/>
      </patternFill>
    </fill>
    <fill>
      <patternFill patternType="solid">
        <fgColor indexed="18"/>
        <bgColor auto="1"/>
      </patternFill>
    </fill>
    <fill>
      <patternFill patternType="solid">
        <fgColor indexed="8"/>
        <bgColor auto="1"/>
      </patternFill>
    </fill>
    <fill>
      <patternFill patternType="solid">
        <fgColor indexed="19"/>
        <bgColor auto="1"/>
      </patternFill>
    </fill>
  </fills>
  <borders count="20">
    <border>
      <left/>
      <right/>
      <top/>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diagonal/>
    </border>
    <border>
      <left/>
      <right/>
      <top/>
      <bottom/>
      <diagonal/>
    </border>
    <border>
      <left/>
      <right style="thin">
        <color indexed="9"/>
      </right>
      <top/>
      <bottom/>
      <diagonal/>
    </border>
    <border>
      <left style="thin">
        <color indexed="9"/>
      </left>
      <right/>
      <top/>
      <bottom style="thin">
        <color indexed="9"/>
      </bottom>
      <diagonal/>
    </border>
    <border>
      <left/>
      <right/>
      <top/>
      <bottom style="thin">
        <color indexed="9"/>
      </bottom>
      <diagonal/>
    </border>
    <border>
      <left/>
      <right style="thin">
        <color indexed="9"/>
      </right>
      <top/>
      <bottom style="thin">
        <color indexed="9"/>
      </bottom>
      <diagonal/>
    </border>
    <border>
      <left style="thin">
        <color indexed="9"/>
      </left>
      <right/>
      <top style="thin">
        <color indexed="9"/>
      </top>
      <bottom style="thin">
        <color indexed="14"/>
      </bottom>
      <diagonal/>
    </border>
    <border>
      <left/>
      <right/>
      <top style="thin">
        <color indexed="9"/>
      </top>
      <bottom style="thin">
        <color indexed="14"/>
      </bottom>
      <diagonal/>
    </border>
    <border>
      <left/>
      <right style="thin">
        <color indexed="9"/>
      </right>
      <top style="thin">
        <color indexed="9"/>
      </top>
      <bottom style="thin">
        <color indexed="14"/>
      </bottom>
      <diagonal/>
    </border>
    <border>
      <left style="thin">
        <color indexed="14"/>
      </left>
      <right style="thin">
        <color indexed="14"/>
      </right>
      <top style="thin">
        <color indexed="14"/>
      </top>
      <bottom style="thin">
        <color indexed="16"/>
      </bottom>
      <diagonal/>
    </border>
    <border>
      <left style="thin">
        <color indexed="14"/>
      </left>
      <right style="thin">
        <color indexed="16"/>
      </right>
      <top style="thin">
        <color indexed="16"/>
      </top>
      <bottom style="thin">
        <color indexed="14"/>
      </bottom>
      <diagonal/>
    </border>
    <border>
      <left style="thin">
        <color indexed="16"/>
      </left>
      <right style="thin">
        <color indexed="14"/>
      </right>
      <top style="thin">
        <color indexed="16"/>
      </top>
      <bottom style="thin">
        <color indexed="14"/>
      </bottom>
      <diagonal/>
    </border>
    <border>
      <left style="thin">
        <color indexed="14"/>
      </left>
      <right style="thin">
        <color indexed="14"/>
      </right>
      <top style="thin">
        <color indexed="16"/>
      </top>
      <bottom style="thin">
        <color indexed="14"/>
      </bottom>
      <diagonal/>
    </border>
    <border>
      <left style="thin">
        <color indexed="14"/>
      </left>
      <right style="thin">
        <color indexed="16"/>
      </right>
      <top style="thin">
        <color indexed="14"/>
      </top>
      <bottom style="thin">
        <color indexed="14"/>
      </bottom>
      <diagonal/>
    </border>
    <border>
      <left style="thin">
        <color indexed="16"/>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s>
  <cellStyleXfs count="1">
    <xf numFmtId="0" fontId="0" applyNumberFormat="0" applyFont="1" applyFill="0" applyBorder="0" applyAlignment="1" applyProtection="0">
      <alignment vertical="top" wrapText="1"/>
    </xf>
  </cellStyleXfs>
  <cellXfs count="82">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0" borderId="1" applyNumberFormat="0" applyFont="1" applyFill="0" applyBorder="1" applyAlignment="1" applyProtection="0">
      <alignment vertical="top" wrapText="1"/>
    </xf>
    <xf numFmtId="0" fontId="0" borderId="2" applyNumberFormat="0" applyFont="1" applyFill="0" applyBorder="1" applyAlignment="1" applyProtection="0">
      <alignment vertical="top" wrapText="1"/>
    </xf>
    <xf numFmtId="0" fontId="0" borderId="3" applyNumberFormat="0" applyFont="1" applyFill="0" applyBorder="1" applyAlignment="1" applyProtection="0">
      <alignment vertical="top" wrapText="1"/>
    </xf>
    <xf numFmtId="0" fontId="0" borderId="4" applyNumberFormat="0" applyFont="1" applyFill="0" applyBorder="1" applyAlignment="1" applyProtection="0">
      <alignment vertical="top" wrapText="1"/>
    </xf>
    <xf numFmtId="0" fontId="0" borderId="5" applyNumberFormat="0" applyFont="1" applyFill="0" applyBorder="1" applyAlignment="1" applyProtection="0">
      <alignment vertical="top" wrapText="1"/>
    </xf>
    <xf numFmtId="0" fontId="0" borderId="6" applyNumberFormat="0" applyFont="1" applyFill="0" applyBorder="1" applyAlignment="1" applyProtection="0">
      <alignment vertical="top" wrapText="1"/>
    </xf>
    <xf numFmtId="49" fontId="1" borderId="5" applyNumberFormat="1" applyFont="1" applyFill="0" applyBorder="1" applyAlignment="1" applyProtection="0">
      <alignment horizontal="left" vertical="top" wrapText="1"/>
    </xf>
    <xf numFmtId="49" fontId="3" borderId="5" applyNumberFormat="1" applyFont="1" applyFill="0" applyBorder="1" applyAlignment="1" applyProtection="0">
      <alignment horizontal="left" vertical="top" wrapText="1"/>
    </xf>
    <xf numFmtId="49" fontId="1" fillId="2" borderId="5" applyNumberFormat="1" applyFont="1" applyFill="1" applyBorder="1" applyAlignment="1" applyProtection="0">
      <alignment horizontal="left" vertical="top" wrapText="1"/>
    </xf>
    <xf numFmtId="0" fontId="1" fillId="2" borderId="5" applyNumberFormat="0" applyFont="1" applyFill="1" applyBorder="1" applyAlignment="1" applyProtection="0">
      <alignment horizontal="left" vertical="top" wrapText="1"/>
    </xf>
    <xf numFmtId="0" fontId="1" fillId="3" borderId="5" applyNumberFormat="0" applyFont="1" applyFill="1" applyBorder="1" applyAlignment="1" applyProtection="0">
      <alignment horizontal="left" vertical="top" wrapText="1"/>
    </xf>
    <xf numFmtId="49" fontId="1" fillId="3" borderId="5" applyNumberFormat="1" applyFont="1" applyFill="1" applyBorder="1" applyAlignment="1" applyProtection="0">
      <alignment horizontal="left" vertical="top" wrapText="1"/>
    </xf>
    <xf numFmtId="49" fontId="4" fillId="3" borderId="5" applyNumberFormat="1" applyFont="1" applyFill="1" applyBorder="1" applyAlignment="1" applyProtection="0">
      <alignment horizontal="left" vertical="top" wrapText="1"/>
    </xf>
    <xf numFmtId="0" fontId="0" borderId="7" applyNumberFormat="0" applyFont="1" applyFill="0" applyBorder="1" applyAlignment="1" applyProtection="0">
      <alignment vertical="top" wrapText="1"/>
    </xf>
    <xf numFmtId="0" fontId="1" fillId="3" borderId="8" applyNumberFormat="0" applyFont="1" applyFill="1" applyBorder="1" applyAlignment="1" applyProtection="0">
      <alignment horizontal="left" vertical="top" wrapText="1"/>
    </xf>
    <xf numFmtId="49" fontId="1" fillId="3" borderId="8" applyNumberFormat="1" applyFont="1" applyFill="1" applyBorder="1" applyAlignment="1" applyProtection="0">
      <alignment horizontal="left" vertical="top" wrapText="1"/>
    </xf>
    <xf numFmtId="49" fontId="4" fillId="3" borderId="8" applyNumberFormat="1" applyFont="1" applyFill="1" applyBorder="1" applyAlignment="1" applyProtection="0">
      <alignment horizontal="left" vertical="top" wrapText="1"/>
    </xf>
    <xf numFmtId="0" fontId="0" borderId="9" applyNumberFormat="0" applyFont="1" applyFill="0" applyBorder="1" applyAlignment="1" applyProtection="0">
      <alignment vertical="top" wrapText="1"/>
    </xf>
    <xf numFmtId="0" fontId="0" applyNumberFormat="1" applyFont="1" applyFill="0" applyBorder="0" applyAlignment="1" applyProtection="0">
      <alignment vertical="top" wrapText="1"/>
    </xf>
    <xf numFmtId="49" fontId="1" fillId="4" borderId="10" applyNumberFormat="1" applyFont="1" applyFill="1" applyBorder="1" applyAlignment="1" applyProtection="0">
      <alignment horizontal="center" vertical="center"/>
    </xf>
    <xf numFmtId="0" fontId="1" fillId="4" borderId="11" applyNumberFormat="0" applyFont="1" applyFill="1" applyBorder="1" applyAlignment="1" applyProtection="0">
      <alignment horizontal="center" vertical="center"/>
    </xf>
    <xf numFmtId="0" fontId="1" fillId="4" borderId="12" applyNumberFormat="0" applyFont="1" applyFill="1" applyBorder="1" applyAlignment="1" applyProtection="0">
      <alignment horizontal="center" vertical="center"/>
    </xf>
    <xf numFmtId="49" fontId="5" fillId="5" borderId="13" applyNumberFormat="1" applyFont="1" applyFill="1" applyBorder="1" applyAlignment="1" applyProtection="0">
      <alignment vertical="top"/>
    </xf>
    <xf numFmtId="49" fontId="5" fillId="5" borderId="13" applyNumberFormat="1" applyFont="1" applyFill="1" applyBorder="1" applyAlignment="1" applyProtection="0">
      <alignment horizontal="left" vertical="top"/>
    </xf>
    <xf numFmtId="49" fontId="5" fillId="6" borderId="14" applyNumberFormat="1" applyFont="1" applyFill="1" applyBorder="1" applyAlignment="1" applyProtection="0">
      <alignment vertical="top"/>
    </xf>
    <xf numFmtId="49" fontId="0" fillId="4" borderId="15" applyNumberFormat="1" applyFont="1" applyFill="1" applyBorder="1" applyAlignment="1" applyProtection="0">
      <alignment vertical="top"/>
    </xf>
    <xf numFmtId="59" fontId="0" fillId="4" borderId="16" applyNumberFormat="1" applyFont="1" applyFill="1" applyBorder="1" applyAlignment="1" applyProtection="0">
      <alignment vertical="top"/>
    </xf>
    <xf numFmtId="0" fontId="0" fillId="4" borderId="16" applyNumberFormat="1" applyFont="1" applyFill="1" applyBorder="1" applyAlignment="1" applyProtection="0">
      <alignment vertical="top"/>
    </xf>
    <xf numFmtId="60" fontId="0" fillId="4" borderId="16" applyNumberFormat="1" applyFont="1" applyFill="1" applyBorder="1" applyAlignment="1" applyProtection="0">
      <alignment vertical="top"/>
    </xf>
    <xf numFmtId="0" fontId="0" fillId="4" borderId="16" applyNumberFormat="0" applyFont="1" applyFill="1" applyBorder="1" applyAlignment="1" applyProtection="0">
      <alignment vertical="top"/>
    </xf>
    <xf numFmtId="49" fontId="0" fillId="4" borderId="16" applyNumberFormat="1" applyFont="1" applyFill="1" applyBorder="1" applyAlignment="1" applyProtection="0">
      <alignment vertical="top"/>
    </xf>
    <xf numFmtId="1" fontId="0" fillId="4" borderId="16" applyNumberFormat="1" applyFont="1" applyFill="1" applyBorder="1" applyAlignment="1" applyProtection="0">
      <alignment vertical="top"/>
    </xf>
    <xf numFmtId="61" fontId="0" fillId="4" borderId="16" applyNumberFormat="1" applyFont="1" applyFill="1" applyBorder="1" applyAlignment="1" applyProtection="0">
      <alignment vertical="top"/>
    </xf>
    <xf numFmtId="62" fontId="0" fillId="7" borderId="16" applyNumberFormat="1" applyFont="1" applyFill="1" applyBorder="1" applyAlignment="1" applyProtection="0">
      <alignment vertical="top"/>
    </xf>
    <xf numFmtId="1" fontId="0" fillId="7" borderId="16" applyNumberFormat="1" applyFont="1" applyFill="1" applyBorder="1" applyAlignment="1" applyProtection="0">
      <alignment vertical="top"/>
    </xf>
    <xf numFmtId="49" fontId="5" fillId="6" borderId="17" applyNumberFormat="1" applyFont="1" applyFill="1" applyBorder="1" applyAlignment="1" applyProtection="0">
      <alignment vertical="top"/>
    </xf>
    <xf numFmtId="49" fontId="0" fillId="4" borderId="18" applyNumberFormat="1" applyFont="1" applyFill="1" applyBorder="1" applyAlignment="1" applyProtection="0">
      <alignment vertical="top"/>
    </xf>
    <xf numFmtId="63" fontId="0" fillId="4" borderId="19" applyNumberFormat="1" applyFont="1" applyFill="1" applyBorder="1" applyAlignment="1" applyProtection="0">
      <alignment vertical="top"/>
    </xf>
    <xf numFmtId="3" fontId="0" fillId="4" borderId="19" applyNumberFormat="1" applyFont="1" applyFill="1" applyBorder="1" applyAlignment="1" applyProtection="0">
      <alignment vertical="top"/>
    </xf>
    <xf numFmtId="0" fontId="0" fillId="4" borderId="19" applyNumberFormat="1" applyFont="1" applyFill="1" applyBorder="1" applyAlignment="1" applyProtection="0">
      <alignment vertical="top"/>
    </xf>
    <xf numFmtId="60" fontId="0" fillId="4" borderId="19" applyNumberFormat="1" applyFont="1" applyFill="1" applyBorder="1" applyAlignment="1" applyProtection="0">
      <alignment vertical="top"/>
    </xf>
    <xf numFmtId="0" fontId="0" fillId="4" borderId="19" applyNumberFormat="0" applyFont="1" applyFill="1" applyBorder="1" applyAlignment="1" applyProtection="0">
      <alignment vertical="top"/>
    </xf>
    <xf numFmtId="49" fontId="0" fillId="4" borderId="19" applyNumberFormat="1" applyFont="1" applyFill="1" applyBorder="1" applyAlignment="1" applyProtection="0">
      <alignment vertical="top"/>
    </xf>
    <xf numFmtId="1" fontId="0" fillId="4" borderId="19" applyNumberFormat="1" applyFont="1" applyFill="1" applyBorder="1" applyAlignment="1" applyProtection="0">
      <alignment vertical="top"/>
    </xf>
    <xf numFmtId="61" fontId="0" fillId="4" borderId="19" applyNumberFormat="1" applyFont="1" applyFill="1" applyBorder="1" applyAlignment="1" applyProtection="0">
      <alignment vertical="top"/>
    </xf>
    <xf numFmtId="62" fontId="0" fillId="7" borderId="19" applyNumberFormat="1" applyFont="1" applyFill="1" applyBorder="1" applyAlignment="1" applyProtection="0">
      <alignment vertical="top"/>
    </xf>
    <xf numFmtId="1" fontId="0" fillId="7" borderId="19" applyNumberFormat="1" applyFont="1" applyFill="1" applyBorder="1" applyAlignment="1" applyProtection="0">
      <alignment vertical="top"/>
    </xf>
    <xf numFmtId="59" fontId="0" fillId="4" borderId="19" applyNumberFormat="1" applyFont="1" applyFill="1" applyBorder="1" applyAlignment="1" applyProtection="0">
      <alignment vertical="top"/>
    </xf>
    <xf numFmtId="0" fontId="5" fillId="6" borderId="17" applyNumberFormat="0" applyFont="1" applyFill="1" applyBorder="1" applyAlignment="1" applyProtection="0">
      <alignment vertical="top"/>
    </xf>
    <xf numFmtId="0" fontId="0" fillId="4" borderId="18" applyNumberFormat="0" applyFont="1" applyFill="1" applyBorder="1" applyAlignment="1" applyProtection="0">
      <alignment vertical="top"/>
    </xf>
    <xf numFmtId="49" fontId="5" fillId="7" borderId="19" applyNumberFormat="1" applyFont="1" applyFill="1" applyBorder="1" applyAlignment="1" applyProtection="0">
      <alignment horizontal="right" vertical="center"/>
    </xf>
    <xf numFmtId="62" fontId="5" fillId="7" borderId="19" applyNumberFormat="1" applyFont="1" applyFill="1" applyBorder="1" applyAlignment="1" applyProtection="0">
      <alignment vertical="top"/>
    </xf>
    <xf numFmtId="1" fontId="5" fillId="7" borderId="19" applyNumberFormat="1" applyFont="1" applyFill="1" applyBorder="1" applyAlignment="1" applyProtection="0">
      <alignment vertical="top"/>
    </xf>
    <xf numFmtId="0" fontId="5" fillId="8" borderId="17" applyNumberFormat="0" applyFont="1" applyFill="1" applyBorder="1" applyAlignment="1" applyProtection="0">
      <alignment vertical="top"/>
    </xf>
    <xf numFmtId="0" fontId="0" fillId="8" borderId="18" applyNumberFormat="0" applyFont="1" applyFill="1" applyBorder="1" applyAlignment="1" applyProtection="0">
      <alignment vertical="top"/>
    </xf>
    <xf numFmtId="0" fontId="0" fillId="8" borderId="19" applyNumberFormat="0" applyFont="1" applyFill="1" applyBorder="1" applyAlignment="1" applyProtection="0">
      <alignment vertical="top"/>
    </xf>
    <xf numFmtId="60" fontId="0" fillId="8" borderId="19" applyNumberFormat="1" applyFont="1" applyFill="1" applyBorder="1" applyAlignment="1" applyProtection="0">
      <alignment vertical="top"/>
    </xf>
    <xf numFmtId="1" fontId="0" fillId="8" borderId="19" applyNumberFormat="1" applyFont="1" applyFill="1" applyBorder="1" applyAlignment="1" applyProtection="0">
      <alignment vertical="top"/>
    </xf>
    <xf numFmtId="63" fontId="5" fillId="7" borderId="19" applyNumberFormat="1" applyFont="1" applyFill="1" applyBorder="1" applyAlignment="1" applyProtection="0">
      <alignment vertical="top"/>
    </xf>
    <xf numFmtId="0" fontId="0" applyNumberFormat="1" applyFont="1" applyFill="0" applyBorder="0" applyAlignment="1" applyProtection="0">
      <alignment vertical="top" wrapText="1"/>
    </xf>
    <xf numFmtId="0" fontId="5" fillId="5" borderId="13" applyNumberFormat="0" applyFont="1" applyFill="1" applyBorder="1" applyAlignment="1" applyProtection="0">
      <alignment vertical="top" wrapText="1"/>
    </xf>
    <xf numFmtId="49" fontId="5" fillId="5" borderId="13" applyNumberFormat="1" applyFont="1" applyFill="1" applyBorder="1" applyAlignment="1" applyProtection="0">
      <alignment vertical="top" wrapText="1"/>
    </xf>
    <xf numFmtId="49" fontId="5" fillId="6" borderId="14" applyNumberFormat="1" applyFont="1" applyFill="1" applyBorder="1" applyAlignment="1" applyProtection="0">
      <alignment vertical="top" wrapText="1"/>
    </xf>
    <xf numFmtId="60" fontId="0" fillId="9" borderId="15" applyNumberFormat="1" applyFont="1" applyFill="1" applyBorder="1" applyAlignment="1" applyProtection="0">
      <alignment vertical="top" wrapText="1"/>
    </xf>
    <xf numFmtId="60" fontId="0" fillId="9" borderId="16" applyNumberFormat="1" applyFont="1" applyFill="1" applyBorder="1" applyAlignment="1" applyProtection="0">
      <alignment vertical="top" wrapText="1"/>
    </xf>
    <xf numFmtId="0" fontId="0" fillId="4" borderId="16" applyNumberFormat="1" applyFont="1" applyFill="1" applyBorder="1" applyAlignment="1" applyProtection="0">
      <alignment vertical="top" wrapText="1"/>
    </xf>
    <xf numFmtId="61" fontId="0" fillId="9" borderId="16" applyNumberFormat="1" applyFont="1" applyFill="1" applyBorder="1" applyAlignment="1" applyProtection="0">
      <alignment vertical="top" wrapText="1"/>
    </xf>
    <xf numFmtId="61" fontId="0" fillId="4" borderId="16" applyNumberFormat="1" applyFont="1" applyFill="1" applyBorder="1" applyAlignment="1" applyProtection="0">
      <alignment vertical="top" wrapText="1"/>
    </xf>
    <xf numFmtId="0" fontId="0" fillId="9" borderId="16" applyNumberFormat="1" applyFont="1" applyFill="1" applyBorder="1" applyAlignment="1" applyProtection="0">
      <alignment vertical="top" wrapText="1"/>
    </xf>
    <xf numFmtId="1" fontId="0" fillId="4" borderId="16" applyNumberFormat="1" applyFont="1" applyFill="1" applyBorder="1" applyAlignment="1" applyProtection="0">
      <alignment vertical="top" wrapText="1"/>
    </xf>
    <xf numFmtId="9" fontId="0" fillId="4" borderId="16" applyNumberFormat="1" applyFont="1" applyFill="1" applyBorder="1" applyAlignment="1" applyProtection="0">
      <alignment vertical="top" wrapText="1"/>
    </xf>
    <xf numFmtId="0" fontId="5" fillId="6" borderId="17" applyNumberFormat="0" applyFont="1" applyFill="1" applyBorder="1" applyAlignment="1" applyProtection="0">
      <alignment vertical="top" wrapText="1"/>
    </xf>
    <xf numFmtId="0" fontId="0" fillId="4" borderId="18" applyNumberFormat="0" applyFont="1" applyFill="1" applyBorder="1" applyAlignment="1" applyProtection="0">
      <alignment vertical="top" wrapText="1"/>
    </xf>
    <xf numFmtId="0" fontId="0" fillId="4" borderId="19" applyNumberFormat="0" applyFont="1" applyFill="1" applyBorder="1" applyAlignment="1" applyProtection="0">
      <alignment vertical="top" wrapText="1"/>
    </xf>
    <xf numFmtId="49" fontId="0" fillId="4" borderId="18" applyNumberFormat="1" applyFont="1" applyFill="1" applyBorder="1" applyAlignment="1" applyProtection="0">
      <alignment vertical="top" wrapText="1"/>
    </xf>
    <xf numFmtId="49" fontId="0" fillId="4" borderId="19" applyNumberFormat="1" applyFont="1" applyFill="1" applyBorder="1" applyAlignment="1" applyProtection="0">
      <alignment vertical="top" wrapText="1"/>
    </xf>
    <xf numFmtId="49" fontId="5" fillId="6" borderId="17" applyNumberFormat="1" applyFont="1" applyFill="1" applyBorder="1" applyAlignment="1" applyProtection="0">
      <alignment vertical="top" wrapText="1"/>
    </xf>
    <xf numFmtId="0" fontId="0" fillId="4" borderId="18" applyNumberFormat="1" applyFont="1" applyFill="1" applyBorder="1" applyAlignment="1" applyProtection="0">
      <alignment vertical="top" wrapText="1"/>
    </xf>
    <xf numFmtId="61" fontId="0" fillId="4" borderId="19" applyNumberFormat="1" applyFont="1" applyFill="1" applyBorder="1" applyAlignment="1" applyProtection="0">
      <alignment vertical="top" wrapText="1"/>
    </xf>
    <xf numFmtId="1" fontId="0" fillId="4" borderId="19" applyNumberFormat="1" applyFont="1" applyFill="1" applyBorder="1" applyAlignment="1" applyProtection="0">
      <alignment vertical="top" wrapText="1"/>
    </xf>
  </cellXfs>
  <cellStyles count="1">
    <cellStyle name="Normal" xfId="0" builtinId="0"/>
  </cellStyles>
  <dxfs count="3">
    <dxf>
      <font>
        <color rgb="ffe32400"/>
      </font>
    </dxf>
    <dxf>
      <font>
        <color rgb="ff669c35"/>
      </font>
    </dxf>
    <dxf>
      <font>
        <color rgb="ff669c35"/>
      </font>
    </dxf>
  </dxfs>
  <tableStyles count="0"/>
  <colors>
    <indexedColors>
      <rgbColor rgb="ff000000"/>
      <rgbColor rgb="ffffffff"/>
      <rgbColor rgb="ffff0000"/>
      <rgbColor rgb="ff00ff00"/>
      <rgbColor rgb="ff0000ff"/>
      <rgbColor rgb="ffffff00"/>
      <rgbColor rgb="ffff00ff"/>
      <rgbColor rgb="ff00ffff"/>
      <rgbColor rgb="ff000000"/>
      <rgbColor rgb="ffaaaaaa"/>
      <rgbColor rgb="ff5e88b1"/>
      <rgbColor rgb="ffeef3f4"/>
      <rgbColor rgb="ff0000ff"/>
      <rgbColor rgb="ffffffff"/>
      <rgbColor rgb="ffa5a5a5"/>
      <rgbColor rgb="ffbdc0bf"/>
      <rgbColor rgb="ff3f3f3f"/>
      <rgbColor rgb="ffdbdbdb"/>
      <rgbColor rgb="ff16e7cf"/>
      <rgbColor rgb="ff88f94e"/>
      <rgbColor rgb="ffe32400"/>
      <rgbColor rgb="ff669c35"/>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E12"/>
  <sheetViews>
    <sheetView workbookViewId="0" showGridLines="0" defaultGridColor="1"/>
  </sheetViews>
  <sheetFormatPr defaultColWidth="10" defaultRowHeight="13" customHeight="1" outlineLevelRow="0" outlineLevelCol="0"/>
  <cols>
    <col min="1" max="1" width="2" style="1" customWidth="1"/>
    <col min="2" max="4" width="33.6719" style="1" customWidth="1"/>
    <col min="5" max="5" width="10" style="1" customWidth="1"/>
    <col min="6" max="16384" width="10" style="1" customWidth="1"/>
  </cols>
  <sheetData>
    <row r="1" ht="14.7" customHeight="1">
      <c r="A1" s="2"/>
      <c r="B1" s="3"/>
      <c r="C1" s="3"/>
      <c r="D1" s="3"/>
      <c r="E1" s="4"/>
    </row>
    <row r="2" ht="14.7" customHeight="1">
      <c r="A2" s="5"/>
      <c r="B2" s="6"/>
      <c r="C2" s="6"/>
      <c r="D2" s="6"/>
      <c r="E2" s="7"/>
    </row>
    <row r="3" ht="50" customHeight="1">
      <c r="A3" s="5"/>
      <c r="B3" t="s" s="8">
        <v>0</v>
      </c>
      <c r="C3" s="6"/>
      <c r="D3" s="6"/>
      <c r="E3" s="7"/>
    </row>
    <row r="4" ht="14.7" customHeight="1">
      <c r="A4" s="5"/>
      <c r="B4" s="6"/>
      <c r="C4" s="6"/>
      <c r="D4" s="6"/>
      <c r="E4" s="7"/>
    </row>
    <row r="5" ht="14.7" customHeight="1">
      <c r="A5" s="5"/>
      <c r="B5" s="6"/>
      <c r="C5" s="6"/>
      <c r="D5" s="6"/>
      <c r="E5" s="7"/>
    </row>
    <row r="6" ht="14.7" customHeight="1">
      <c r="A6" s="5"/>
      <c r="B6" s="6"/>
      <c r="C6" s="6"/>
      <c r="D6" s="6"/>
      <c r="E6" s="7"/>
    </row>
    <row r="7" ht="19" customHeight="1">
      <c r="A7" s="5"/>
      <c r="B7" t="s" s="9">
        <v>1</v>
      </c>
      <c r="C7" t="s" s="9">
        <v>2</v>
      </c>
      <c r="D7" t="s" s="9">
        <v>3</v>
      </c>
      <c r="E7" s="7"/>
    </row>
    <row r="8" ht="14.7" customHeight="1">
      <c r="A8" s="5"/>
      <c r="B8" s="6"/>
      <c r="C8" s="6"/>
      <c r="D8" s="6"/>
      <c r="E8" s="7"/>
    </row>
    <row r="9" ht="17" customHeight="1">
      <c r="A9" s="5"/>
      <c r="B9" t="s" s="10">
        <v>4</v>
      </c>
      <c r="C9" s="11"/>
      <c r="D9" s="11"/>
      <c r="E9" s="7"/>
    </row>
    <row r="10" ht="17" customHeight="1">
      <c r="A10" s="5"/>
      <c r="B10" s="12"/>
      <c r="C10" t="s" s="13">
        <v>5</v>
      </c>
      <c r="D10" t="s" s="14">
        <v>6</v>
      </c>
      <c r="E10" s="7"/>
    </row>
    <row r="11" ht="17" customHeight="1">
      <c r="A11" s="5"/>
      <c r="B11" t="s" s="10">
        <v>7</v>
      </c>
      <c r="C11" s="11"/>
      <c r="D11" s="11"/>
      <c r="E11" s="7"/>
    </row>
    <row r="12" ht="17" customHeight="1">
      <c r="A12" s="15"/>
      <c r="B12" s="16"/>
      <c r="C12" t="s" s="17">
        <v>8</v>
      </c>
      <c r="D12" t="s" s="18">
        <v>9</v>
      </c>
      <c r="E12" s="19"/>
    </row>
  </sheetData>
  <mergeCells count="1">
    <mergeCell ref="B3:D3"/>
  </mergeCells>
  <hyperlinks>
    <hyperlink ref="D10" location="'Projects - projects-export-2025'!R1C1" tooltip="" display="Projects - projects-export-2025"/>
    <hyperlink ref="D12" location="'Dashboard'!R1C1" tooltip="" display="Dashboard"/>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Q28"/>
  <sheetViews>
    <sheetView workbookViewId="0" showGridLines="0" defaultGridColor="1"/>
  </sheetViews>
  <sheetFormatPr defaultColWidth="8.33333" defaultRowHeight="20" customHeight="1" outlineLevelRow="0" outlineLevelCol="0"/>
  <cols>
    <col min="1" max="1" width="23.5" style="20" customWidth="1"/>
    <col min="2" max="2" width="8.85156" style="20" customWidth="1"/>
    <col min="3" max="3" width="9.85156" style="20" customWidth="1"/>
    <col min="4" max="4" width="5.85156" style="20" customWidth="1"/>
    <col min="5" max="5" width="7.17188" style="20" customWidth="1"/>
    <col min="6" max="8" width="10.1719" style="20" customWidth="1"/>
    <col min="9" max="9" width="7.35156" style="20" customWidth="1"/>
    <col min="10" max="10" width="11.6719" style="20" customWidth="1"/>
    <col min="11" max="11" width="6.85156" style="20" customWidth="1"/>
    <col min="12" max="12" width="10.1719" style="20" customWidth="1"/>
    <col min="13" max="17" width="11.6719" style="20" customWidth="1"/>
    <col min="18" max="16384" width="8.35156" style="20" customWidth="1"/>
  </cols>
  <sheetData>
    <row r="1" ht="27.75" customHeight="1">
      <c r="A1" t="s" s="21">
        <v>5</v>
      </c>
      <c r="B1" s="22"/>
      <c r="C1" s="22"/>
      <c r="D1" s="22"/>
      <c r="E1" s="22"/>
      <c r="F1" s="22"/>
      <c r="G1" s="22"/>
      <c r="H1" s="22"/>
      <c r="I1" s="22"/>
      <c r="J1" s="22"/>
      <c r="K1" s="22"/>
      <c r="L1" s="22"/>
      <c r="M1" s="22"/>
      <c r="N1" s="22"/>
      <c r="O1" s="22"/>
      <c r="P1" s="22"/>
      <c r="Q1" s="23"/>
    </row>
    <row r="2" ht="20.25" customHeight="1">
      <c r="A2" t="s" s="24">
        <v>10</v>
      </c>
      <c r="B2" t="s" s="24">
        <v>11</v>
      </c>
      <c r="C2" t="s" s="24">
        <v>12</v>
      </c>
      <c r="D2" t="s" s="24">
        <v>13</v>
      </c>
      <c r="E2" t="s" s="24">
        <v>14</v>
      </c>
      <c r="F2" t="s" s="24">
        <v>15</v>
      </c>
      <c r="G2" t="s" s="24">
        <v>16</v>
      </c>
      <c r="H2" t="s" s="24">
        <v>17</v>
      </c>
      <c r="I2" t="s" s="24">
        <v>18</v>
      </c>
      <c r="J2" t="s" s="24">
        <v>19</v>
      </c>
      <c r="K2" t="s" s="24">
        <v>20</v>
      </c>
      <c r="L2" t="s" s="24">
        <v>21</v>
      </c>
      <c r="M2" t="s" s="25">
        <v>22</v>
      </c>
      <c r="N2" t="s" s="25">
        <v>23</v>
      </c>
      <c r="O2" t="s" s="25">
        <v>24</v>
      </c>
      <c r="P2" t="s" s="25">
        <v>25</v>
      </c>
      <c r="Q2" t="s" s="25">
        <v>26</v>
      </c>
    </row>
    <row r="3" ht="20.25" customHeight="1">
      <c r="A3" t="s" s="26">
        <v>27</v>
      </c>
      <c r="B3" t="s" s="27">
        <v>28</v>
      </c>
      <c r="C3" s="28">
        <v>40000</v>
      </c>
      <c r="D3" s="29">
        <v>800</v>
      </c>
      <c r="E3" s="29">
        <v>0</v>
      </c>
      <c r="F3" s="30">
        <v>45658</v>
      </c>
      <c r="G3" s="30">
        <v>46022</v>
      </c>
      <c r="H3" s="31"/>
      <c r="I3" t="s" s="32">
        <v>29</v>
      </c>
      <c r="J3" s="33" cm="1">
        <f t="array" ref="J3">G3-F3+1</f>
        <v>365</v>
      </c>
      <c r="K3" s="34" cm="1">
        <f t="array" ref="K3">C3/J3</f>
        <v>109.589041095890</v>
      </c>
      <c r="L3" s="33" cm="1">
        <f t="array" ref="L3">D3/J3</f>
        <v>2.19178082191781</v>
      </c>
      <c r="M3" s="30" cm="1">
        <f t="array" ref="M3">IF(F3&gt;'Dashboard'!$B$3,F3,'Dashboard'!$B$3)</f>
        <v>45748</v>
      </c>
      <c r="N3" s="30" cm="1">
        <f t="array" ref="N3">IF(G3&lt;'Dashboard'!$C$3,G3,'Dashboard'!$C$3)</f>
        <v>45838</v>
      </c>
      <c r="O3" s="29" cm="1">
        <f t="array" ref="O3">MAX(0,(N3-M3+1))</f>
        <v>91</v>
      </c>
      <c r="P3" s="35" cm="1">
        <f t="array" ref="P3">K3*O3</f>
        <v>9972.602739725990</v>
      </c>
      <c r="Q3" s="36" cm="1">
        <f t="array" ref="Q3">L3*O3</f>
        <v>199.452054794521</v>
      </c>
    </row>
    <row r="4" ht="20" customHeight="1">
      <c r="A4" t="s" s="37">
        <v>30</v>
      </c>
      <c r="B4" t="s" s="38">
        <v>28</v>
      </c>
      <c r="C4" s="39">
        <v>50000</v>
      </c>
      <c r="D4" s="40">
        <v>1000</v>
      </c>
      <c r="E4" s="41">
        <v>0</v>
      </c>
      <c r="F4" s="42">
        <v>45658</v>
      </c>
      <c r="G4" s="42">
        <v>46022</v>
      </c>
      <c r="H4" s="43"/>
      <c r="I4" t="s" s="44">
        <v>29</v>
      </c>
      <c r="J4" s="45" cm="1">
        <f t="array" ref="J4">G4-F4+1</f>
        <v>365</v>
      </c>
      <c r="K4" s="46" cm="1">
        <f t="array" ref="K4">C4/J4</f>
        <v>136.986301369863</v>
      </c>
      <c r="L4" s="45" cm="1">
        <f t="array" ref="L4">D4/J4</f>
        <v>2.73972602739726</v>
      </c>
      <c r="M4" s="42" cm="1">
        <f t="array" ref="M4">IF(F4&gt;'Dashboard'!$B$3,F4,'Dashboard'!$B$3)</f>
        <v>45748</v>
      </c>
      <c r="N4" s="42" cm="1">
        <f t="array" ref="N4">IF(G4&lt;'Dashboard'!$C$3,G4,'Dashboard'!$C$3)</f>
        <v>45838</v>
      </c>
      <c r="O4" s="41" cm="1">
        <f t="array" ref="O4">MAX(0,(N4-M4+1))</f>
        <v>91</v>
      </c>
      <c r="P4" s="47" cm="1">
        <f t="array" ref="P4">K4*O4</f>
        <v>12465.7534246575</v>
      </c>
      <c r="Q4" s="48" cm="1">
        <f t="array" ref="Q4">L4*O4</f>
        <v>249.315068493151</v>
      </c>
    </row>
    <row r="5" ht="20" customHeight="1">
      <c r="A5" t="s" s="37">
        <v>31</v>
      </c>
      <c r="B5" t="s" s="38">
        <v>28</v>
      </c>
      <c r="C5" s="49">
        <v>20000</v>
      </c>
      <c r="D5" s="41">
        <v>300</v>
      </c>
      <c r="E5" s="41">
        <v>0</v>
      </c>
      <c r="F5" s="42">
        <v>45658</v>
      </c>
      <c r="G5" s="42">
        <v>45838</v>
      </c>
      <c r="H5" t="s" s="44">
        <v>32</v>
      </c>
      <c r="I5" t="s" s="44">
        <v>33</v>
      </c>
      <c r="J5" s="45" cm="1">
        <f t="array" ref="J5">G5-F5+1</f>
        <v>181</v>
      </c>
      <c r="K5" s="46" cm="1">
        <f t="array" ref="K5">C5/J5</f>
        <v>110.497237569061</v>
      </c>
      <c r="L5" s="45" cm="1">
        <f t="array" ref="L5">D5/J5</f>
        <v>1.65745856353591</v>
      </c>
      <c r="M5" s="42" cm="1">
        <f t="array" ref="M5">IF(F5&gt;'Dashboard'!$B$3,F5,'Dashboard'!$B$3)</f>
        <v>45748</v>
      </c>
      <c r="N5" s="42" cm="1">
        <f t="array" ref="N5">IF(G5&lt;'Dashboard'!$C$3,G5,'Dashboard'!$C$3)</f>
        <v>45838</v>
      </c>
      <c r="O5" s="41" cm="1">
        <f t="array" ref="O5">MAX(0,(N5-M5+1))</f>
        <v>91</v>
      </c>
      <c r="P5" s="47" cm="1">
        <f t="array" ref="P5">K5*O5</f>
        <v>10055.2486187846</v>
      </c>
      <c r="Q5" s="48" cm="1">
        <f t="array" ref="Q5">L5*O5</f>
        <v>150.828729281768</v>
      </c>
    </row>
    <row r="6" ht="20" customHeight="1">
      <c r="A6" t="s" s="37">
        <v>34</v>
      </c>
      <c r="B6" t="s" s="38">
        <v>28</v>
      </c>
      <c r="C6" s="39">
        <v>5000</v>
      </c>
      <c r="D6" s="41">
        <v>100</v>
      </c>
      <c r="E6" s="41">
        <v>80</v>
      </c>
      <c r="F6" s="42">
        <v>45726</v>
      </c>
      <c r="G6" s="42">
        <v>45789</v>
      </c>
      <c r="H6" t="s" s="44">
        <v>35</v>
      </c>
      <c r="I6" t="s" s="44">
        <v>29</v>
      </c>
      <c r="J6" s="45" cm="1">
        <f t="array" ref="J6">G6-F6+1</f>
        <v>64</v>
      </c>
      <c r="K6" s="46" cm="1">
        <f t="array" ref="K6">C6/J6</f>
        <v>78.125</v>
      </c>
      <c r="L6" s="45" cm="1">
        <f t="array" ref="L6">D6/J6</f>
        <v>1.5625</v>
      </c>
      <c r="M6" s="42" cm="1">
        <f t="array" ref="M6">IF(F6&gt;'Dashboard'!$B$3,F6,'Dashboard'!$B$3)</f>
        <v>45748</v>
      </c>
      <c r="N6" s="42" cm="1">
        <f t="array" ref="N6">IF(G6&lt;'Dashboard'!$C$3,G6,'Dashboard'!$C$3)</f>
        <v>45789</v>
      </c>
      <c r="O6" s="41" cm="1">
        <f t="array" ref="O6">MAX(0,(N6-M6+1))</f>
        <v>42</v>
      </c>
      <c r="P6" s="47" cm="1">
        <f t="array" ref="P6">K6*O6</f>
        <v>3281.25</v>
      </c>
      <c r="Q6" s="48" cm="1">
        <f t="array" ref="Q6">L6*O6</f>
        <v>65.625</v>
      </c>
    </row>
    <row r="7" ht="20" customHeight="1">
      <c r="A7" t="s" s="37">
        <v>36</v>
      </c>
      <c r="B7" t="s" s="38">
        <v>28</v>
      </c>
      <c r="C7" s="39">
        <v>20000</v>
      </c>
      <c r="D7" s="41">
        <v>300</v>
      </c>
      <c r="E7" s="41">
        <v>100000</v>
      </c>
      <c r="F7" s="42">
        <v>45658</v>
      </c>
      <c r="G7" s="42">
        <v>46022</v>
      </c>
      <c r="H7" s="43"/>
      <c r="I7" t="s" s="44">
        <v>37</v>
      </c>
      <c r="J7" s="45" cm="1">
        <f t="array" ref="J7">G7-F7+1</f>
        <v>365</v>
      </c>
      <c r="K7" s="46" cm="1">
        <f t="array" ref="K7">C7/J7</f>
        <v>54.7945205479452</v>
      </c>
      <c r="L7" s="45" cm="1">
        <f t="array" ref="L7">D7/J7</f>
        <v>0.821917808219178</v>
      </c>
      <c r="M7" s="42" cm="1">
        <f t="array" ref="M7">IF(F7&gt;'Dashboard'!$B$3,F7,'Dashboard'!$B$3)</f>
        <v>45748</v>
      </c>
      <c r="N7" s="42" cm="1">
        <f t="array" ref="N7">IF(G7&lt;'Dashboard'!$C$3,G7,'Dashboard'!$C$3)</f>
        <v>45838</v>
      </c>
      <c r="O7" s="41" cm="1">
        <f t="array" ref="O7">MAX(0,(N7-M7+1))</f>
        <v>91</v>
      </c>
      <c r="P7" s="47" cm="1">
        <f t="array" ref="P7">K7*O7</f>
        <v>4986.301369863010</v>
      </c>
      <c r="Q7" s="48" cm="1">
        <f t="array" ref="Q7">L7*O7</f>
        <v>74.7945205479452</v>
      </c>
    </row>
    <row r="8" ht="20" customHeight="1">
      <c r="A8" t="s" s="37">
        <v>38</v>
      </c>
      <c r="B8" t="s" s="38">
        <v>28</v>
      </c>
      <c r="C8" s="39">
        <v>98000</v>
      </c>
      <c r="D8" s="41">
        <v>2400</v>
      </c>
      <c r="E8" s="41">
        <v>0</v>
      </c>
      <c r="F8" s="42">
        <v>45658</v>
      </c>
      <c r="G8" s="42">
        <v>46022</v>
      </c>
      <c r="H8" s="43"/>
      <c r="I8" t="s" s="44">
        <v>29</v>
      </c>
      <c r="J8" s="45" cm="1">
        <f t="array" ref="J8">G8-F8+1</f>
        <v>365</v>
      </c>
      <c r="K8" s="46" cm="1">
        <f t="array" ref="K8">C8/J8</f>
        <v>268.493150684932</v>
      </c>
      <c r="L8" s="45" cm="1">
        <f t="array" ref="L8">D8/J8</f>
        <v>6.57534246575342</v>
      </c>
      <c r="M8" s="42" cm="1">
        <f t="array" ref="M8">IF(F8&gt;'Dashboard'!$B$3,F8,'Dashboard'!$B$3)</f>
        <v>45748</v>
      </c>
      <c r="N8" s="42" cm="1">
        <f t="array" ref="N8">IF(G8&lt;'Dashboard'!$C$3,G8,'Dashboard'!$C$3)</f>
        <v>45838</v>
      </c>
      <c r="O8" s="41" cm="1">
        <f t="array" ref="O8">MAX(0,(N8-M8+1))</f>
        <v>91</v>
      </c>
      <c r="P8" s="47" cm="1">
        <f t="array" ref="P8">K8*O8</f>
        <v>24432.8767123288</v>
      </c>
      <c r="Q8" s="48" cm="1">
        <f t="array" ref="Q8">L8*O8</f>
        <v>598.356164383561</v>
      </c>
    </row>
    <row r="9" ht="20" customHeight="1">
      <c r="A9" t="s" s="37">
        <v>39</v>
      </c>
      <c r="B9" t="s" s="38">
        <v>28</v>
      </c>
      <c r="C9" s="39">
        <v>5000</v>
      </c>
      <c r="D9" s="41">
        <v>100</v>
      </c>
      <c r="E9" s="41">
        <v>0</v>
      </c>
      <c r="F9" s="42">
        <v>45658</v>
      </c>
      <c r="G9" s="42">
        <v>46022</v>
      </c>
      <c r="H9" t="s" s="44">
        <v>40</v>
      </c>
      <c r="I9" s="43"/>
      <c r="J9" s="45" cm="1">
        <f t="array" ref="J9">G9-F9+1</f>
        <v>365</v>
      </c>
      <c r="K9" s="46" cm="1">
        <f t="array" ref="K9">C9/J9</f>
        <v>13.6986301369863</v>
      </c>
      <c r="L9" s="45" cm="1">
        <f t="array" ref="L9">D9/J9</f>
        <v>0.273972602739726</v>
      </c>
      <c r="M9" s="42" cm="1">
        <f t="array" ref="M9">IF(F9&gt;'Dashboard'!$B$3,F9,'Dashboard'!$B$3)</f>
        <v>45748</v>
      </c>
      <c r="N9" s="42" cm="1">
        <f t="array" ref="N9">IF(G9&lt;'Dashboard'!$C$3,G9,'Dashboard'!$C$3)</f>
        <v>45838</v>
      </c>
      <c r="O9" s="41" cm="1">
        <f t="array" ref="O9">MAX(0,(N9-M9+1))</f>
        <v>91</v>
      </c>
      <c r="P9" s="47" cm="1">
        <f t="array" ref="P9">K9*O9</f>
        <v>1246.575342465750</v>
      </c>
      <c r="Q9" s="48" cm="1">
        <f t="array" ref="Q9">L9*O9</f>
        <v>24.9315068493151</v>
      </c>
    </row>
    <row r="10" ht="20" customHeight="1">
      <c r="A10" t="s" s="37">
        <v>41</v>
      </c>
      <c r="B10" t="s" s="38">
        <v>28</v>
      </c>
      <c r="C10" s="39">
        <v>40000</v>
      </c>
      <c r="D10" s="41">
        <v>1000</v>
      </c>
      <c r="E10" s="41">
        <v>0</v>
      </c>
      <c r="F10" s="42">
        <v>45658</v>
      </c>
      <c r="G10" s="42">
        <v>46022</v>
      </c>
      <c r="H10" s="43"/>
      <c r="I10" t="s" s="44">
        <v>29</v>
      </c>
      <c r="J10" s="45" cm="1">
        <f t="array" ref="J10">G10-F10+1</f>
        <v>365</v>
      </c>
      <c r="K10" s="46" cm="1">
        <f t="array" ref="K10">C10/J10</f>
        <v>109.589041095890</v>
      </c>
      <c r="L10" s="45" cm="1">
        <f t="array" ref="L10">D10/J10</f>
        <v>2.73972602739726</v>
      </c>
      <c r="M10" s="42" cm="1">
        <f t="array" ref="M10">IF(F10&gt;'Dashboard'!$B$3,F10,'Dashboard'!$B$3)</f>
        <v>45748</v>
      </c>
      <c r="N10" s="42" cm="1">
        <f t="array" ref="N10">IF(G10&lt;'Dashboard'!$C$3,G10,'Dashboard'!$C$3)</f>
        <v>45838</v>
      </c>
      <c r="O10" s="41" cm="1">
        <f t="array" ref="O10">MAX(0,(N10-M10+1))</f>
        <v>91</v>
      </c>
      <c r="P10" s="47" cm="1">
        <f t="array" ref="P10">K10*O10</f>
        <v>9972.602739725990</v>
      </c>
      <c r="Q10" s="48" cm="1">
        <f t="array" ref="Q10">L10*O10</f>
        <v>249.315068493151</v>
      </c>
    </row>
    <row r="11" ht="20" customHeight="1">
      <c r="A11" t="s" s="37">
        <v>42</v>
      </c>
      <c r="B11" t="s" s="38">
        <v>28</v>
      </c>
      <c r="C11" s="41">
        <v>250000</v>
      </c>
      <c r="D11" s="41">
        <v>1500</v>
      </c>
      <c r="E11" s="43"/>
      <c r="F11" s="42">
        <v>45474</v>
      </c>
      <c r="G11" s="42">
        <v>45808</v>
      </c>
      <c r="H11" s="43"/>
      <c r="I11" s="43"/>
      <c r="J11" s="45" cm="1">
        <f t="array" ref="J11">G11-F11+1</f>
        <v>335</v>
      </c>
      <c r="K11" s="45" cm="1">
        <f t="array" ref="K11">C11/J11</f>
        <v>746.268656716418</v>
      </c>
      <c r="L11" s="45" cm="1">
        <f t="array" ref="L11">D11/J11</f>
        <v>4.47761194029851</v>
      </c>
      <c r="M11" s="42" cm="1">
        <f t="array" ref="M11">IF(F11&gt;'Dashboard'!$B$3,F11,'Dashboard'!$B$3)</f>
        <v>45748</v>
      </c>
      <c r="N11" s="42" cm="1">
        <f t="array" ref="N11">IF(G11&lt;'Dashboard'!$C$3,G11,'Dashboard'!$C$3)</f>
        <v>45808</v>
      </c>
      <c r="O11" s="41" cm="1">
        <f t="array" ref="O11">MAX(0,(N11-M11+1))</f>
        <v>61</v>
      </c>
      <c r="P11" s="47" cm="1">
        <f t="array" ref="P11">K11*O11</f>
        <v>45522.3880597015</v>
      </c>
      <c r="Q11" s="48" cm="1">
        <f t="array" ref="Q11">L11*O11</f>
        <v>273.134328358209</v>
      </c>
    </row>
    <row r="12" ht="20" customHeight="1">
      <c r="A12" s="50"/>
      <c r="B12" s="51"/>
      <c r="C12" s="43"/>
      <c r="D12" s="43"/>
      <c r="E12" s="43"/>
      <c r="F12" s="42"/>
      <c r="G12" s="42"/>
      <c r="H12" s="43"/>
      <c r="I12" s="43"/>
      <c r="J12" s="45"/>
      <c r="K12" s="43"/>
      <c r="L12" s="43"/>
      <c r="M12" s="43" cm="1">
        <f t="array" ref="M12">IF(F12&lt;'Dashboard'!$B$3,F12,'Dashboard'!$B$3)</f>
      </c>
      <c r="N12" t="s" s="52">
        <v>28</v>
      </c>
      <c r="O12" s="41" cm="1">
        <f t="array" ref="O12">SUM(O3:O11)</f>
        <v>740</v>
      </c>
      <c r="P12" s="53" cm="1">
        <f t="array" ref="P12">SUM(P3:P11)</f>
        <v>121935.599007253</v>
      </c>
      <c r="Q12" s="54" cm="1">
        <f t="array" ref="Q12">SUM(Q3:Q11)</f>
        <v>1885.752441201620</v>
      </c>
    </row>
    <row r="13" ht="9.75" customHeight="1">
      <c r="A13" s="55"/>
      <c r="B13" s="56"/>
      <c r="C13" s="57"/>
      <c r="D13" s="57"/>
      <c r="E13" s="57"/>
      <c r="F13" s="58"/>
      <c r="G13" s="58"/>
      <c r="H13" s="57"/>
      <c r="I13" s="57"/>
      <c r="J13" s="59" cm="1">
        <f t="array" ref="J13">G13-F13+1</f>
        <v>1</v>
      </c>
      <c r="K13" s="59" cm="1">
        <f t="array" ref="K13">C13/J13</f>
        <v>0</v>
      </c>
      <c r="L13" s="59" cm="1">
        <f t="array" ref="L13">D13/J13</f>
        <v>0</v>
      </c>
      <c r="M13" s="57" cm="1">
        <f t="array" ref="M13">IF(F13&lt;'Dashboard'!$B$3,F13,'Dashboard'!$B$3)</f>
      </c>
      <c r="N13" s="57" cm="1">
        <f t="array" ref="N13">IF(G13&lt;'Dashboard'!$C$3,G13,'Dashboard'!$C$3)</f>
      </c>
      <c r="O13" s="57"/>
      <c r="P13" s="47"/>
      <c r="Q13" s="48"/>
    </row>
    <row r="14" ht="20" customHeight="1">
      <c r="A14" t="s" s="37">
        <v>43</v>
      </c>
      <c r="B14" t="s" s="38">
        <v>44</v>
      </c>
      <c r="C14" s="49">
        <v>10000</v>
      </c>
      <c r="D14" s="41">
        <v>250</v>
      </c>
      <c r="E14" s="41">
        <v>0</v>
      </c>
      <c r="F14" s="42">
        <v>45771</v>
      </c>
      <c r="G14" s="42">
        <v>45859</v>
      </c>
      <c r="H14" t="s" s="44">
        <v>45</v>
      </c>
      <c r="I14" t="s" s="44">
        <v>29</v>
      </c>
      <c r="J14" s="45" cm="1">
        <f t="array" ref="J14">G14-F14+1</f>
        <v>89</v>
      </c>
      <c r="K14" s="46" cm="1">
        <f t="array" ref="K14">C14/J14</f>
        <v>112.359550561798</v>
      </c>
      <c r="L14" s="45" cm="1">
        <f t="array" ref="L14">D14/J14</f>
        <v>2.80898876404494</v>
      </c>
      <c r="M14" s="42" cm="1">
        <f t="array" ref="M14">IF(F14&gt;'Dashboard'!$B$3,F14,'Dashboard'!$B$3)</f>
        <v>45771</v>
      </c>
      <c r="N14" s="42" cm="1">
        <f t="array" ref="N14">IF(G14&lt;'Dashboard'!$C$3,G14,'Dashboard'!$C$3)</f>
        <v>45838</v>
      </c>
      <c r="O14" s="41" cm="1">
        <f t="array" ref="O14">MAX(0,(N14-M14+1))</f>
        <v>68</v>
      </c>
      <c r="P14" s="47" cm="1">
        <f t="array" ref="P14">K14*O14</f>
        <v>7640.449438202260</v>
      </c>
      <c r="Q14" s="48" cm="1">
        <f t="array" ref="Q14">L14*O14</f>
        <v>191.011235955056</v>
      </c>
    </row>
    <row r="15" ht="20" customHeight="1">
      <c r="A15" t="s" s="37">
        <v>46</v>
      </c>
      <c r="B15" t="s" s="38">
        <v>44</v>
      </c>
      <c r="C15" s="41">
        <v>60000</v>
      </c>
      <c r="D15" s="41">
        <v>1800</v>
      </c>
      <c r="E15" s="43"/>
      <c r="F15" s="42">
        <v>45726</v>
      </c>
      <c r="G15" s="42">
        <v>46203</v>
      </c>
      <c r="H15" s="43"/>
      <c r="I15" s="43"/>
      <c r="J15" s="45" cm="1">
        <f t="array" ref="J15">G15-F15+1</f>
        <v>478</v>
      </c>
      <c r="K15" s="45" cm="1">
        <f t="array" ref="K15">C15/J15</f>
        <v>125.523012552301</v>
      </c>
      <c r="L15" s="45" cm="1">
        <f t="array" ref="L15">D15/J15</f>
        <v>3.76569037656904</v>
      </c>
      <c r="M15" s="42" cm="1">
        <f t="array" ref="M15">IF(F15&gt;'Dashboard'!$B$3,F15,'Dashboard'!$B$3)</f>
        <v>45748</v>
      </c>
      <c r="N15" s="42" cm="1">
        <f t="array" ref="N15">IF(G15&lt;'Dashboard'!$C$3,G15,'Dashboard'!$C$3)</f>
        <v>45838</v>
      </c>
      <c r="O15" s="41" cm="1">
        <f t="array" ref="O15">MAX(0,(N15-M15+1))</f>
        <v>91</v>
      </c>
      <c r="P15" s="47" cm="1">
        <f t="array" ref="P15">K15*O15</f>
        <v>11422.5941422594</v>
      </c>
      <c r="Q15" s="48" cm="1">
        <f t="array" ref="Q15">L15*O15</f>
        <v>342.677824267783</v>
      </c>
    </row>
    <row r="16" ht="20" customHeight="1">
      <c r="A16" s="50"/>
      <c r="B16" s="51"/>
      <c r="C16" s="43"/>
      <c r="D16" s="43"/>
      <c r="E16" s="43"/>
      <c r="F16" s="42"/>
      <c r="G16" s="42"/>
      <c r="H16" s="43"/>
      <c r="I16" s="43"/>
      <c r="J16" s="45"/>
      <c r="K16" s="45"/>
      <c r="L16" s="45"/>
      <c r="M16" s="43" cm="1">
        <f t="array" ref="M16">IF(F16&lt;'Dashboard'!$B$3,F16,'Dashboard'!$B$3)</f>
      </c>
      <c r="N16" t="s" s="52">
        <v>44</v>
      </c>
      <c r="O16" s="41" cm="1">
        <f t="array" ref="O16">SUM(O14:O15)</f>
        <v>159</v>
      </c>
      <c r="P16" s="53" cm="1">
        <f t="array" ref="P16">SUM(P14:P15)</f>
        <v>19063.0435804617</v>
      </c>
      <c r="Q16" s="54" cm="1">
        <f t="array" ref="Q16">SUM(Q14:Q15)</f>
        <v>533.689060222839</v>
      </c>
    </row>
    <row r="17" ht="8.5" customHeight="1">
      <c r="A17" s="55"/>
      <c r="B17" s="56"/>
      <c r="C17" s="57"/>
      <c r="D17" s="57"/>
      <c r="E17" s="57"/>
      <c r="F17" s="58"/>
      <c r="G17" s="58"/>
      <c r="H17" s="57"/>
      <c r="I17" s="57"/>
      <c r="J17" s="59" cm="1">
        <f t="array" ref="J17">G17-F17+1</f>
        <v>1</v>
      </c>
      <c r="K17" s="59" cm="1">
        <f t="array" ref="K17">C17/J17</f>
        <v>0</v>
      </c>
      <c r="L17" s="59" cm="1">
        <f t="array" ref="L17">D17/J17</f>
        <v>0</v>
      </c>
      <c r="M17" s="57" cm="1">
        <f t="array" ref="M17">IF(F17&lt;'Dashboard'!$B$3,F17,'Dashboard'!$B$3)</f>
      </c>
      <c r="N17" s="57" cm="1">
        <f t="array" ref="N17">IF(G17&lt;'Dashboard'!$C$3,G17,'Dashboard'!$C$3)</f>
      </c>
      <c r="O17" s="57"/>
      <c r="P17" s="47"/>
      <c r="Q17" s="48"/>
    </row>
    <row r="18" ht="20" customHeight="1">
      <c r="A18" t="s" s="37">
        <v>47</v>
      </c>
      <c r="B18" t="s" s="38">
        <v>48</v>
      </c>
      <c r="C18" s="39">
        <v>30000</v>
      </c>
      <c r="D18" s="41">
        <v>200</v>
      </c>
      <c r="E18" s="41">
        <v>0</v>
      </c>
      <c r="F18" s="42">
        <v>45670</v>
      </c>
      <c r="G18" s="42">
        <v>45716</v>
      </c>
      <c r="H18" s="43"/>
      <c r="I18" t="s" s="44">
        <v>29</v>
      </c>
      <c r="J18" s="45" cm="1">
        <f t="array" ref="J18">G18-F18+1</f>
        <v>47</v>
      </c>
      <c r="K18" s="46" cm="1">
        <f t="array" ref="K18">C18/J18</f>
        <v>638.297872340426</v>
      </c>
      <c r="L18" s="45" cm="1">
        <f t="array" ref="L18">D18/J18</f>
        <v>4.25531914893617</v>
      </c>
      <c r="M18" s="42" cm="1">
        <f t="array" ref="M18">IF(F18&gt;'Dashboard'!$B$3,F18,'Dashboard'!$B$3)</f>
        <v>45748</v>
      </c>
      <c r="N18" s="42" cm="1">
        <f t="array" ref="N18">IF(G18&lt;'Dashboard'!$C$3,G18,'Dashboard'!$C$3)</f>
        <v>45716</v>
      </c>
      <c r="O18" s="41" cm="1">
        <f t="array" ref="O18">MAX(0,(N18-M18+1))</f>
        <v>0</v>
      </c>
      <c r="P18" s="47" cm="1">
        <f t="array" ref="P18">K18*O18</f>
        <v>0</v>
      </c>
      <c r="Q18" s="48" cm="1">
        <f t="array" ref="Q18">L18*O18</f>
        <v>0</v>
      </c>
    </row>
    <row r="19" ht="20" customHeight="1">
      <c r="A19" t="s" s="37">
        <v>49</v>
      </c>
      <c r="B19" t="s" s="38">
        <v>48</v>
      </c>
      <c r="C19" s="39">
        <v>15000</v>
      </c>
      <c r="D19" s="41">
        <v>250</v>
      </c>
      <c r="E19" s="43"/>
      <c r="F19" s="42">
        <v>45566</v>
      </c>
      <c r="G19" s="42">
        <v>45764</v>
      </c>
      <c r="H19" s="43"/>
      <c r="I19" t="s" s="44">
        <v>29</v>
      </c>
      <c r="J19" s="45" cm="1">
        <f t="array" ref="J19">G19-F19+1</f>
        <v>199</v>
      </c>
      <c r="K19" s="39" cm="1">
        <f t="array" ref="K19">C19/J19</f>
        <v>75.37688442211061</v>
      </c>
      <c r="L19" s="45" cm="1">
        <f t="array" ref="L19">D19/J19</f>
        <v>1.25628140703518</v>
      </c>
      <c r="M19" s="42" cm="1">
        <f t="array" ref="M19">IF(F19&gt;'Dashboard'!$B$3,F19,'Dashboard'!$B$3)</f>
        <v>45748</v>
      </c>
      <c r="N19" s="42" cm="1">
        <f t="array" ref="N19">IF(G19&lt;'Dashboard'!$C$3,G19,'Dashboard'!$C$3)</f>
        <v>45764</v>
      </c>
      <c r="O19" s="41" cm="1">
        <f t="array" ref="O19">MAX(0,(N19-M19+1))</f>
        <v>17</v>
      </c>
      <c r="P19" s="47" cm="1">
        <f t="array" ref="P19">K19*O19</f>
        <v>1281.407035175880</v>
      </c>
      <c r="Q19" s="48" cm="1">
        <f t="array" ref="Q19">L19*O19</f>
        <v>21.3567839195981</v>
      </c>
    </row>
    <row r="20" ht="20" customHeight="1">
      <c r="A20" s="50"/>
      <c r="B20" s="51"/>
      <c r="C20" s="43"/>
      <c r="D20" s="43"/>
      <c r="E20" s="43"/>
      <c r="F20" s="42"/>
      <c r="G20" s="42"/>
      <c r="H20" s="43"/>
      <c r="I20" s="43"/>
      <c r="J20" t="s" s="44">
        <v>50</v>
      </c>
      <c r="K20" t="s" s="44">
        <v>50</v>
      </c>
      <c r="L20" t="s" s="44">
        <v>50</v>
      </c>
      <c r="M20" s="43" cm="1">
        <f t="array" ref="M20">IF(F20&lt;'Dashboard'!$B$3,F20,'Dashboard'!$B$3)</f>
      </c>
      <c r="N20" t="s" s="52">
        <v>48</v>
      </c>
      <c r="O20" s="41" cm="1">
        <f t="array" ref="O20">SUM(O18:O19)</f>
        <v>17</v>
      </c>
      <c r="P20" s="53" cm="1">
        <f t="array" ref="P20">SUM(P18:P19)</f>
        <v>1281.407035175880</v>
      </c>
      <c r="Q20" s="54" cm="1">
        <f t="array" ref="Q20">SUM(Q18:Q19)</f>
        <v>21.3567839195981</v>
      </c>
    </row>
    <row r="21" ht="8.25" customHeight="1">
      <c r="A21" s="55"/>
      <c r="B21" s="56"/>
      <c r="C21" s="57"/>
      <c r="D21" s="57"/>
      <c r="E21" s="57"/>
      <c r="F21" s="58"/>
      <c r="G21" s="58"/>
      <c r="H21" s="57"/>
      <c r="I21" s="57"/>
      <c r="J21" s="57"/>
      <c r="K21" s="57"/>
      <c r="L21" s="57"/>
      <c r="M21" s="57" cm="1">
        <f t="array" ref="M21">IF(F21&lt;'Dashboard'!$B$3,F21,'Dashboard'!$B$3)</f>
      </c>
      <c r="N21" s="57" cm="1">
        <f t="array" ref="N21">IF(G21&lt;'Dashboard'!$C$3,G21,'Dashboard'!$C$3)</f>
      </c>
      <c r="O21" s="57"/>
      <c r="P21" s="47"/>
      <c r="Q21" s="48"/>
    </row>
    <row r="22" ht="20" customHeight="1">
      <c r="A22" t="s" s="37">
        <v>51</v>
      </c>
      <c r="B22" t="s" s="38">
        <v>52</v>
      </c>
      <c r="C22" s="49">
        <v>5000</v>
      </c>
      <c r="D22" s="41">
        <v>100</v>
      </c>
      <c r="E22" s="41">
        <v>0</v>
      </c>
      <c r="F22" s="42">
        <v>45887</v>
      </c>
      <c r="G22" s="42">
        <v>45930</v>
      </c>
      <c r="H22" t="s" s="44">
        <v>53</v>
      </c>
      <c r="I22" s="43"/>
      <c r="J22" s="45" cm="1">
        <f t="array" ref="J22">G22-F22+1</f>
        <v>44</v>
      </c>
      <c r="K22" s="46" cm="1">
        <f t="array" ref="K22">C22/J22</f>
        <v>113.636363636364</v>
      </c>
      <c r="L22" s="45" cm="1">
        <f t="array" ref="L22">D22/J22</f>
        <v>2.27272727272727</v>
      </c>
      <c r="M22" s="42" cm="1">
        <f t="array" ref="M22">IF(F22&gt;'Dashboard'!$B$3,F22,'Dashboard'!$B$3)</f>
        <v>45887</v>
      </c>
      <c r="N22" s="42" cm="1">
        <f t="array" ref="N22">IF(G22&lt;'Dashboard'!$C$3,G22,'Dashboard'!$C$3)</f>
        <v>45838</v>
      </c>
      <c r="O22" s="41" cm="1">
        <f t="array" ref="O22">MAX(0,(N22-M22+1))</f>
        <v>0</v>
      </c>
      <c r="P22" s="47" cm="1">
        <f t="array" ref="P22">K22*O22</f>
        <v>0</v>
      </c>
      <c r="Q22" s="48" cm="1">
        <f t="array" ref="Q22">L22*O22</f>
        <v>0</v>
      </c>
    </row>
    <row r="23" ht="20" customHeight="1">
      <c r="A23" t="s" s="37">
        <v>54</v>
      </c>
      <c r="B23" t="s" s="38">
        <v>52</v>
      </c>
      <c r="C23" s="49">
        <v>30000</v>
      </c>
      <c r="D23" s="41">
        <v>800</v>
      </c>
      <c r="E23" s="41">
        <v>0</v>
      </c>
      <c r="F23" s="42">
        <v>45839</v>
      </c>
      <c r="G23" s="42">
        <v>46022</v>
      </c>
      <c r="H23" t="s" s="44">
        <v>55</v>
      </c>
      <c r="I23" s="43"/>
      <c r="J23" s="45" cm="1">
        <f t="array" ref="J23">G23-F23+1</f>
        <v>184</v>
      </c>
      <c r="K23" s="46" cm="1">
        <f t="array" ref="K23">C23/J23</f>
        <v>163.043478260870</v>
      </c>
      <c r="L23" s="45" cm="1">
        <f t="array" ref="L23">D23/J23</f>
        <v>4.34782608695652</v>
      </c>
      <c r="M23" s="42" cm="1">
        <f t="array" ref="M23">IF(F23&gt;'Dashboard'!$B$3,F23,'Dashboard'!$B$3)</f>
        <v>45839</v>
      </c>
      <c r="N23" s="42" cm="1">
        <f t="array" ref="N23">IF(G23&lt;'Dashboard'!$C$3,G23,'Dashboard'!$C$3)</f>
        <v>45838</v>
      </c>
      <c r="O23" s="41" cm="1">
        <f t="array" ref="O23">MAX(0,(N23-M23+1))</f>
        <v>0</v>
      </c>
      <c r="P23" s="47" cm="1">
        <f t="array" ref="P23">K23*O23</f>
        <v>0</v>
      </c>
      <c r="Q23" s="48" cm="1">
        <f t="array" ref="Q23">L23*O23</f>
        <v>0</v>
      </c>
    </row>
    <row r="24" ht="20" customHeight="1">
      <c r="A24" t="s" s="37">
        <v>56</v>
      </c>
      <c r="B24" t="s" s="38">
        <v>52</v>
      </c>
      <c r="C24" s="49">
        <v>10000</v>
      </c>
      <c r="D24" s="41">
        <v>500</v>
      </c>
      <c r="E24" s="41">
        <v>0</v>
      </c>
      <c r="F24" s="42">
        <v>45809</v>
      </c>
      <c r="G24" s="42">
        <v>45900</v>
      </c>
      <c r="H24" s="43"/>
      <c r="I24" s="43"/>
      <c r="J24" s="45" cm="1">
        <f t="array" ref="J24">G24-F24+1</f>
        <v>92</v>
      </c>
      <c r="K24" s="46" cm="1">
        <f t="array" ref="K24">C24/J24</f>
        <v>108.695652173913</v>
      </c>
      <c r="L24" s="45" cm="1">
        <f t="array" ref="L24">D24/J24</f>
        <v>5.43478260869565</v>
      </c>
      <c r="M24" s="42" cm="1">
        <f t="array" ref="M24">IF(F24&gt;'Dashboard'!$B$3,F24,'Dashboard'!$B$3)</f>
        <v>45809</v>
      </c>
      <c r="N24" s="42" cm="1">
        <f t="array" ref="N24">IF(G24&lt;'Dashboard'!$C$3,G24,'Dashboard'!$C$3)</f>
        <v>45838</v>
      </c>
      <c r="O24" s="41" cm="1">
        <f t="array" ref="O24">MAX(0,(N24-M24+1))</f>
        <v>30</v>
      </c>
      <c r="P24" s="47" cm="1">
        <f t="array" ref="P24">K24*O24</f>
        <v>3260.869565217390</v>
      </c>
      <c r="Q24" s="48" cm="1">
        <f t="array" ref="Q24">L24*O24</f>
        <v>163.043478260870</v>
      </c>
    </row>
    <row r="25" ht="20" customHeight="1">
      <c r="A25" t="s" s="37">
        <v>57</v>
      </c>
      <c r="B25" t="s" s="38">
        <v>52</v>
      </c>
      <c r="C25" s="49">
        <v>10000</v>
      </c>
      <c r="D25" s="41">
        <v>250</v>
      </c>
      <c r="E25" s="41">
        <v>0</v>
      </c>
      <c r="F25" s="42">
        <v>45791</v>
      </c>
      <c r="G25" s="42">
        <v>45838</v>
      </c>
      <c r="H25" t="s" s="44">
        <v>58</v>
      </c>
      <c r="I25" s="43"/>
      <c r="J25" s="45" cm="1">
        <f t="array" ref="J25">G25-F25+1</f>
        <v>48</v>
      </c>
      <c r="K25" s="46" cm="1">
        <f t="array" ref="K25">C25/J25</f>
        <v>208.333333333333</v>
      </c>
      <c r="L25" s="45" cm="1">
        <f t="array" ref="L25">D25/J25</f>
        <v>5.20833333333333</v>
      </c>
      <c r="M25" s="42" cm="1">
        <f t="array" ref="M25">IF(F25&gt;'Dashboard'!$B$3,F25,'Dashboard'!$B$3)</f>
        <v>45791</v>
      </c>
      <c r="N25" s="42" cm="1">
        <f t="array" ref="N25">IF(G25&lt;'Dashboard'!$C$3,G25,'Dashboard'!$C$3)</f>
        <v>45838</v>
      </c>
      <c r="O25" s="41" cm="1">
        <f t="array" ref="O25">MAX(0,(N25-M25+1))</f>
        <v>48</v>
      </c>
      <c r="P25" s="47" cm="1">
        <f t="array" ref="P25">K25*O25</f>
        <v>9999.999999999980</v>
      </c>
      <c r="Q25" s="48" cm="1">
        <f t="array" ref="Q25">L25*O25</f>
        <v>250</v>
      </c>
    </row>
    <row r="26" ht="20" customHeight="1">
      <c r="A26" s="50"/>
      <c r="B26" s="51"/>
      <c r="C26" s="43"/>
      <c r="D26" s="43"/>
      <c r="E26" s="43"/>
      <c r="F26" s="42"/>
      <c r="G26" s="42"/>
      <c r="H26" s="43"/>
      <c r="I26" s="43"/>
      <c r="J26" t="s" s="44">
        <v>50</v>
      </c>
      <c r="K26" t="s" s="44">
        <v>50</v>
      </c>
      <c r="L26" t="s" s="44">
        <v>50</v>
      </c>
      <c r="M26" s="43" cm="1">
        <f t="array" ref="M26">IF(F26&lt;'Dashboard'!$B$3,F26,'Dashboard'!$B$3)</f>
      </c>
      <c r="N26" t="s" s="52">
        <v>52</v>
      </c>
      <c r="O26" s="41" cm="1">
        <f t="array" ref="O26">SUM(O22:O25)</f>
        <v>78</v>
      </c>
      <c r="P26" s="53" cm="1">
        <f t="array" ref="P26">SUM(P22:P25)</f>
        <v>13260.8695652174</v>
      </c>
      <c r="Q26" s="54" cm="1">
        <f t="array" ref="Q26">SUM(Q22:Q25)</f>
        <v>413.043478260870</v>
      </c>
    </row>
    <row r="27" ht="20" customHeight="1">
      <c r="A27" s="50"/>
      <c r="B27" s="51"/>
      <c r="C27" s="43"/>
      <c r="D27" s="43"/>
      <c r="E27" s="43"/>
      <c r="F27" s="42"/>
      <c r="G27" s="42"/>
      <c r="H27" s="43"/>
      <c r="I27" s="43"/>
      <c r="J27" s="44"/>
      <c r="K27" s="44"/>
      <c r="L27" s="44"/>
      <c r="M27" s="43"/>
      <c r="N27" s="43"/>
      <c r="O27" s="43"/>
      <c r="P27" s="60"/>
      <c r="Q27" s="54"/>
    </row>
    <row r="28" ht="20" customHeight="1">
      <c r="A28" s="50"/>
      <c r="B28" s="51"/>
      <c r="C28" s="43"/>
      <c r="D28" s="43"/>
      <c r="E28" s="43"/>
      <c r="F28" s="42"/>
      <c r="G28" s="42"/>
      <c r="H28" s="43"/>
      <c r="I28" s="43"/>
      <c r="J28" s="44"/>
      <c r="K28" s="44"/>
      <c r="L28" s="44"/>
      <c r="M28" s="43"/>
      <c r="N28" s="43"/>
      <c r="O28" s="43"/>
      <c r="P28" s="53" cm="1">
        <f t="array" ref="P28">P26+P20+P16+P12</f>
        <v>155540.919188108</v>
      </c>
      <c r="Q28" s="54" cm="1">
        <f t="array" ref="Q28">Q26+Q20+Q16+Q12</f>
        <v>2853.841763604930</v>
      </c>
    </row>
  </sheetData>
  <mergeCells count="1">
    <mergeCell ref="A1:Q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N11"/>
  <sheetViews>
    <sheetView workbookViewId="0" showGridLines="0" defaultGridColor="1"/>
  </sheetViews>
  <sheetFormatPr defaultColWidth="16.3333" defaultRowHeight="20" customHeight="1" outlineLevelRow="0" outlineLevelCol="0"/>
  <cols>
    <col min="1" max="1" width="16.3516" style="61" customWidth="1"/>
    <col min="2" max="2" width="10.3516" style="61" customWidth="1"/>
    <col min="3" max="3" width="10.1719" style="61" customWidth="1"/>
    <col min="4" max="4" width="8.5" style="61" customWidth="1"/>
    <col min="5" max="5" width="12.1719" style="61" customWidth="1"/>
    <col min="6" max="8" width="11.3516" style="61" customWidth="1"/>
    <col min="9" max="10" width="9" style="61" customWidth="1"/>
    <col min="11" max="12" width="10.5" style="61" customWidth="1"/>
    <col min="13" max="13" width="6.85156" style="61" customWidth="1"/>
    <col min="14" max="14" width="7.5" style="61" customWidth="1"/>
    <col min="15" max="16384" width="16.3516" style="61" customWidth="1"/>
  </cols>
  <sheetData>
    <row r="1" ht="27.75" customHeight="1">
      <c r="A1" t="s" s="21">
        <v>8</v>
      </c>
      <c r="B1" s="22"/>
      <c r="C1" s="22"/>
      <c r="D1" s="22"/>
      <c r="E1" s="22"/>
      <c r="F1" s="22"/>
      <c r="G1" s="22"/>
      <c r="H1" s="22"/>
      <c r="I1" s="22"/>
      <c r="J1" s="22"/>
      <c r="K1" s="22"/>
      <c r="L1" s="22"/>
      <c r="M1" s="22"/>
      <c r="N1" s="23"/>
    </row>
    <row r="2" ht="32.25" customHeight="1">
      <c r="A2" s="62"/>
      <c r="B2" t="s" s="63">
        <v>59</v>
      </c>
      <c r="C2" t="s" s="63">
        <v>60</v>
      </c>
      <c r="D2" t="s" s="63">
        <v>61</v>
      </c>
      <c r="E2" t="s" s="63">
        <v>62</v>
      </c>
      <c r="F2" t="s" s="63">
        <v>63</v>
      </c>
      <c r="G2" t="s" s="63">
        <v>64</v>
      </c>
      <c r="H2" t="s" s="63">
        <v>65</v>
      </c>
      <c r="I2" t="s" s="63">
        <v>66</v>
      </c>
      <c r="J2" t="s" s="63">
        <v>67</v>
      </c>
      <c r="K2" t="s" s="63">
        <v>68</v>
      </c>
      <c r="L2" t="s" s="63">
        <v>69</v>
      </c>
      <c r="M2" t="s" s="63">
        <v>70</v>
      </c>
      <c r="N2" t="s" s="63">
        <v>71</v>
      </c>
    </row>
    <row r="3" ht="20.25" customHeight="1">
      <c r="A3" t="s" s="64">
        <v>72</v>
      </c>
      <c r="B3" s="65">
        <v>45748</v>
      </c>
      <c r="C3" s="66">
        <v>45838</v>
      </c>
      <c r="D3" s="67" cm="1">
        <f t="array" ref="D3">C3-B3+1</f>
        <v>91</v>
      </c>
      <c r="E3" s="68">
        <v>350000</v>
      </c>
      <c r="F3" s="69" cm="1">
        <f t="array" ref="F3">E3/365*D3</f>
        <v>87260.273972602707</v>
      </c>
      <c r="G3" s="69" cm="1">
        <f t="array" ref="G3">C11</f>
        <v>155540.919188108</v>
      </c>
      <c r="H3" s="69" cm="1">
        <f t="array" ref="H3">F3-C11</f>
        <v>-68280.6452155053</v>
      </c>
      <c r="I3" s="70">
        <v>15000</v>
      </c>
      <c r="J3" s="71" cm="1">
        <f t="array" ref="J3">D11</f>
        <v>2853.841763604930</v>
      </c>
      <c r="K3" s="71" cm="1">
        <f t="array" ref="K3">I3/365*D3</f>
        <v>3739.726027397260</v>
      </c>
      <c r="L3" s="71" cm="1">
        <f t="array" ref="L3">I3-K3</f>
        <v>11260.2739726027</v>
      </c>
      <c r="M3" s="72" cm="1">
        <f t="array" ref="M3">C11/F3</f>
        <v>1.78249405035038</v>
      </c>
      <c r="N3" s="72" cm="1">
        <f t="array" ref="N3">D11/I3</f>
        <v>0.190256117573662</v>
      </c>
    </row>
    <row r="4" ht="20" customHeight="1">
      <c r="A4" s="73"/>
      <c r="B4" s="74"/>
      <c r="C4" s="75"/>
      <c r="D4" s="75"/>
      <c r="E4" s="75"/>
      <c r="F4" s="75"/>
      <c r="G4" s="75"/>
      <c r="H4" s="75"/>
      <c r="I4" s="75"/>
      <c r="J4" s="75"/>
      <c r="K4" s="75"/>
      <c r="L4" s="75"/>
      <c r="M4" s="75"/>
      <c r="N4" s="75"/>
    </row>
    <row r="5" ht="20" customHeight="1">
      <c r="A5" s="73"/>
      <c r="B5" t="s" s="76">
        <v>73</v>
      </c>
      <c r="C5" t="s" s="77">
        <v>12</v>
      </c>
      <c r="D5" t="s" s="77">
        <v>13</v>
      </c>
      <c r="E5" s="75"/>
      <c r="F5" s="75"/>
      <c r="G5" s="75"/>
      <c r="H5" s="75"/>
      <c r="I5" s="75"/>
      <c r="J5" s="75"/>
      <c r="K5" s="75"/>
      <c r="L5" s="75"/>
      <c r="M5" s="75"/>
      <c r="N5" s="75"/>
    </row>
    <row r="6" ht="20" customHeight="1">
      <c r="A6" t="s" s="78">
        <v>52</v>
      </c>
      <c r="B6" s="79" cm="1">
        <f t="array" ref="B6">COUNTIF('Projects - projects-export-2025'!Q22:Q25,"&gt;0")</f>
        <v>2</v>
      </c>
      <c r="C6" s="80" cm="1">
        <f t="array" ref="C6">'Projects - projects-export-2025'!P26</f>
        <v>13260.8695652174</v>
      </c>
      <c r="D6" s="81" cm="1">
        <f t="array" ref="D6">'Projects - projects-export-2025'!Q26</f>
        <v>413.043478260870</v>
      </c>
      <c r="E6" s="75"/>
      <c r="F6" s="75"/>
      <c r="G6" s="75"/>
      <c r="H6" s="75"/>
      <c r="I6" s="75"/>
      <c r="J6" s="75"/>
      <c r="K6" s="75"/>
      <c r="L6" s="75"/>
      <c r="M6" s="75"/>
      <c r="N6" s="75"/>
    </row>
    <row r="7" ht="20" customHeight="1">
      <c r="A7" t="s" s="78">
        <v>44</v>
      </c>
      <c r="B7" s="79" cm="1">
        <f t="array" ref="B7">COUNTIF('Projects - projects-export-2025'!Q14:Q15,"&gt;0")</f>
        <v>2</v>
      </c>
      <c r="C7" s="80" cm="1">
        <f t="array" ref="C7">'Projects - projects-export-2025'!P16</f>
        <v>19063.0435804617</v>
      </c>
      <c r="D7" s="81" cm="1">
        <f t="array" ref="D7">'Projects - projects-export-2025'!Q16</f>
        <v>533.689060222839</v>
      </c>
      <c r="E7" s="75"/>
      <c r="F7" s="75"/>
      <c r="G7" s="75"/>
      <c r="H7" s="75"/>
      <c r="I7" s="75"/>
      <c r="J7" s="75"/>
      <c r="K7" s="75"/>
      <c r="L7" s="75"/>
      <c r="M7" s="75"/>
      <c r="N7" s="75"/>
    </row>
    <row r="8" ht="20" customHeight="1">
      <c r="A8" t="s" s="78">
        <v>28</v>
      </c>
      <c r="B8" s="79" cm="1">
        <f t="array" ref="B8">COUNTIF('Projects - projects-export-2025'!Q3:Q11,"&gt;0")</f>
        <v>9</v>
      </c>
      <c r="C8" s="80" cm="1">
        <f t="array" ref="C8">'Projects - projects-export-2025'!P12</f>
        <v>121935.599007253</v>
      </c>
      <c r="D8" s="81" cm="1">
        <f t="array" ref="D8">'Projects - projects-export-2025'!Q12</f>
        <v>1885.752441201620</v>
      </c>
      <c r="E8" s="75"/>
      <c r="F8" s="75"/>
      <c r="G8" s="75"/>
      <c r="H8" s="75"/>
      <c r="I8" s="75"/>
      <c r="J8" s="75"/>
      <c r="K8" s="75"/>
      <c r="L8" s="75"/>
      <c r="M8" s="75"/>
      <c r="N8" s="75"/>
    </row>
    <row r="9" ht="20" customHeight="1">
      <c r="A9" t="s" s="78">
        <v>48</v>
      </c>
      <c r="B9" s="79" cm="1">
        <f t="array" ref="B9">COUNTIF('Projects - projects-export-2025'!Q18:Q19,"&gt;0")</f>
        <v>1</v>
      </c>
      <c r="C9" s="80" cm="1">
        <f t="array" ref="C9">'Projects - projects-export-2025'!P20</f>
        <v>1281.407035175880</v>
      </c>
      <c r="D9" s="81" cm="1">
        <f t="array" ref="D9">'Projects - projects-export-2025'!Q20</f>
        <v>21.3567839195981</v>
      </c>
      <c r="E9" s="75"/>
      <c r="F9" s="75"/>
      <c r="G9" s="75"/>
      <c r="H9" s="75"/>
      <c r="I9" s="75"/>
      <c r="J9" s="75"/>
      <c r="K9" s="75"/>
      <c r="L9" s="75"/>
      <c r="M9" s="75"/>
      <c r="N9" s="75"/>
    </row>
    <row r="10" ht="20" customHeight="1">
      <c r="A10" s="73"/>
      <c r="B10" s="74"/>
      <c r="C10" s="75"/>
      <c r="D10" s="75"/>
      <c r="E10" s="75"/>
      <c r="F10" s="75"/>
      <c r="G10" s="75"/>
      <c r="H10" s="75"/>
      <c r="I10" s="75"/>
      <c r="J10" s="75"/>
      <c r="K10" s="75"/>
      <c r="L10" s="75"/>
      <c r="M10" s="75"/>
      <c r="N10" s="75"/>
    </row>
    <row r="11" ht="20" customHeight="1">
      <c r="A11" t="s" s="78">
        <v>74</v>
      </c>
      <c r="B11" s="74"/>
      <c r="C11" s="80" cm="1">
        <f t="array" ref="C11">SUM(C6:C9)</f>
        <v>155540.919188108</v>
      </c>
      <c r="D11" s="81" cm="1">
        <f t="array" ref="D11">SUM(D6:D9)</f>
        <v>2853.841763604930</v>
      </c>
      <c r="E11" s="75"/>
      <c r="F11" s="75"/>
      <c r="G11" s="75"/>
      <c r="H11" s="75"/>
      <c r="I11" s="75"/>
      <c r="J11" s="75"/>
      <c r="K11" s="75"/>
      <c r="L11" s="75"/>
      <c r="M11" s="75"/>
      <c r="N11" s="75"/>
    </row>
  </sheetData>
  <mergeCells count="1">
    <mergeCell ref="A1:N1"/>
  </mergeCells>
  <conditionalFormatting sqref="M3">
    <cfRule type="cellIs" dxfId="0" priority="1" operator="greaterThan" stopIfTrue="1">
      <formula>1.1</formula>
    </cfRule>
    <cfRule type="cellIs" dxfId="1" priority="2" operator="lessThanOrEqual" stopIfTrue="1">
      <formula>0.95</formula>
    </cfRule>
  </conditionalFormatting>
  <conditionalFormatting sqref="N3">
    <cfRule type="cellIs" dxfId="2" priority="1" operator="lessThanOrEqual" stopIfTrue="1">
      <formula>0.95</formula>
    </cfRule>
  </conditionalFormatting>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