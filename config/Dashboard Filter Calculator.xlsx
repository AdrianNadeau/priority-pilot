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eczen/Library/Mobile Documents/com~apple~Numbers/Documents/"/>
    </mc:Choice>
  </mc:AlternateContent>
  <xr:revisionPtr revIDLastSave="0" documentId="13_ncr:1_{D6C49986-71D7-3241-84F8-C8D907D8D57C}" xr6:coauthVersionLast="47" xr6:coauthVersionMax="47" xr10:uidLastSave="{00000000-0000-0000-0000-000000000000}"/>
  <bookViews>
    <workbookView xWindow="0" yWindow="660" windowWidth="22760" windowHeight="16820" activeTab="2" xr2:uid="{00000000-000D-0000-FFFF-FFFF00000000}"/>
  </bookViews>
  <sheets>
    <sheet name="Export Summary" sheetId="1" r:id="rId1"/>
    <sheet name="Projects - projects-export-2025"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Q20" i="2"/>
  <c r="O20" i="2"/>
  <c r="P20" i="2"/>
  <c r="D3" i="3" a="1"/>
  <c r="D3" i="3" s="1"/>
  <c r="N26" i="2" a="1"/>
  <c r="N26" i="2" s="1"/>
  <c r="M26" i="2" a="1"/>
  <c r="M26" i="2" s="1"/>
  <c r="N25" i="2" a="1"/>
  <c r="N25" i="2" s="1"/>
  <c r="M25" i="2" a="1"/>
  <c r="M25" i="2" s="1"/>
  <c r="J25" i="2" a="1"/>
  <c r="J25" i="2" s="1"/>
  <c r="N24" i="2" a="1"/>
  <c r="N24" i="2" s="1"/>
  <c r="M24" i="2" a="1"/>
  <c r="M24" i="2" s="1"/>
  <c r="J24" i="2" a="1"/>
  <c r="J24" i="2" s="1"/>
  <c r="N23" i="2" a="1"/>
  <c r="N23" i="2" s="1"/>
  <c r="M23" i="2" a="1"/>
  <c r="M23" i="2" s="1"/>
  <c r="J23" i="2" a="1"/>
  <c r="J23" i="2" s="1"/>
  <c r="N22" i="2" a="1"/>
  <c r="N22" i="2" s="1"/>
  <c r="M22" i="2" a="1"/>
  <c r="M22" i="2" s="1"/>
  <c r="J22" i="2" a="1"/>
  <c r="J22" i="2" s="1"/>
  <c r="N21" i="2" a="1"/>
  <c r="N21" i="2" s="1"/>
  <c r="M21" i="2" a="1"/>
  <c r="M21" i="2" s="1"/>
  <c r="N20" i="2" a="1"/>
  <c r="N20" i="2" s="1"/>
  <c r="M20" i="2" a="1"/>
  <c r="M20" i="2" s="1"/>
  <c r="N19" i="2" a="1"/>
  <c r="N19" i="2" s="1"/>
  <c r="M19" i="2" a="1"/>
  <c r="M19" i="2" s="1"/>
  <c r="J19" i="2" a="1"/>
  <c r="J19" i="2" s="1"/>
  <c r="N18" i="2" a="1"/>
  <c r="N18" i="2" s="1"/>
  <c r="M18" i="2" a="1"/>
  <c r="M18" i="2" s="1"/>
  <c r="J18" i="2" a="1"/>
  <c r="J18" i="2" s="1"/>
  <c r="N17" i="2" a="1"/>
  <c r="N17" i="2" s="1"/>
  <c r="M17" i="2" a="1"/>
  <c r="M17" i="2" s="1"/>
  <c r="J17" i="2" a="1"/>
  <c r="J17" i="2" s="1"/>
  <c r="N16" i="2" a="1"/>
  <c r="N16" i="2" s="1"/>
  <c r="M16" i="2" a="1"/>
  <c r="M16" i="2" s="1"/>
  <c r="J16" i="2" a="1"/>
  <c r="J16" i="2" s="1"/>
  <c r="K16" i="2" s="1" a="1"/>
  <c r="K16" i="2" s="1"/>
  <c r="N15" i="2" a="1"/>
  <c r="N15" i="2" s="1"/>
  <c r="M15" i="2" a="1"/>
  <c r="M15" i="2" s="1"/>
  <c r="J15" i="2" a="1"/>
  <c r="J15" i="2" s="1"/>
  <c r="K15" i="2" s="1" a="1"/>
  <c r="K15" i="2" s="1"/>
  <c r="N14" i="2" a="1"/>
  <c r="N14" i="2" s="1"/>
  <c r="M14" i="2" a="1"/>
  <c r="M14" i="2" s="1"/>
  <c r="J14" i="2" a="1"/>
  <c r="J14" i="2" s="1"/>
  <c r="K14" i="2" s="1" a="1"/>
  <c r="K14" i="2" s="1"/>
  <c r="N13" i="2" a="1"/>
  <c r="N13" i="2" s="1"/>
  <c r="M13" i="2" a="1"/>
  <c r="M13" i="2" s="1"/>
  <c r="J13" i="2" a="1"/>
  <c r="J13" i="2" s="1"/>
  <c r="N12" i="2" a="1"/>
  <c r="N12" i="2" s="1"/>
  <c r="M12" i="2" a="1"/>
  <c r="M12" i="2" s="1"/>
  <c r="N11" i="2" a="1"/>
  <c r="N11" i="2" s="1"/>
  <c r="M11" i="2" a="1"/>
  <c r="M11" i="2" s="1"/>
  <c r="J11" i="2" a="1"/>
  <c r="J11" i="2" s="1"/>
  <c r="N10" i="2" a="1"/>
  <c r="N10" i="2" s="1"/>
  <c r="M10" i="2" a="1"/>
  <c r="M10" i="2" s="1"/>
  <c r="J10" i="2" a="1"/>
  <c r="J10" i="2" s="1"/>
  <c r="N9" i="2" a="1"/>
  <c r="N9" i="2" s="1"/>
  <c r="M9" i="2" a="1"/>
  <c r="M9" i="2" s="1"/>
  <c r="J9" i="2" a="1"/>
  <c r="J9" i="2" s="1"/>
  <c r="N8" i="2" a="1"/>
  <c r="N8" i="2" s="1"/>
  <c r="M8" i="2" a="1"/>
  <c r="M8" i="2" s="1"/>
  <c r="J8" i="2" a="1"/>
  <c r="J8" i="2" s="1"/>
  <c r="N7" i="2" a="1"/>
  <c r="N7" i="2" s="1"/>
  <c r="M7" i="2" a="1"/>
  <c r="M7" i="2" s="1"/>
  <c r="J7" i="2" a="1"/>
  <c r="J7" i="2" s="1"/>
  <c r="N6" i="2" a="1"/>
  <c r="N6" i="2" s="1"/>
  <c r="M6" i="2" a="1"/>
  <c r="M6" i="2" s="1"/>
  <c r="J6" i="2" a="1"/>
  <c r="J6" i="2" s="1"/>
  <c r="N5" i="2" a="1"/>
  <c r="N5" i="2" s="1"/>
  <c r="M5" i="2" a="1"/>
  <c r="M5" i="2" s="1"/>
  <c r="J5" i="2" a="1"/>
  <c r="J5" i="2" s="1"/>
  <c r="N4" i="2" a="1"/>
  <c r="N4" i="2" s="1"/>
  <c r="M4" i="2" a="1"/>
  <c r="M4" i="2" s="1"/>
  <c r="J4" i="2" a="1"/>
  <c r="J4" i="2" s="1"/>
  <c r="N3" i="2" a="1"/>
  <c r="N3" i="2" s="1"/>
  <c r="M3" i="2" a="1"/>
  <c r="M3" i="2" s="1"/>
  <c r="J3" i="2" a="1"/>
  <c r="J3" i="2" s="1"/>
  <c r="L14" i="2" l="1" a="1"/>
  <c r="L14" i="2" s="1"/>
  <c r="L6" i="2" a="1"/>
  <c r="L6" i="2" s="1"/>
  <c r="K6" i="2" a="1"/>
  <c r="K6" i="2" s="1"/>
  <c r="O18" i="2" a="1"/>
  <c r="O18" i="2" s="1"/>
  <c r="L22" i="2" a="1"/>
  <c r="L22" i="2" s="1"/>
  <c r="K22" i="2" a="1"/>
  <c r="K22" i="2" s="1"/>
  <c r="L19" i="2" a="1"/>
  <c r="L19" i="2" s="1"/>
  <c r="K19" i="2" a="1"/>
  <c r="K19" i="2" s="1"/>
  <c r="P15" i="2" a="1"/>
  <c r="P15" i="2" s="1"/>
  <c r="L9" i="2" a="1"/>
  <c r="L9" i="2" s="1"/>
  <c r="K9" i="2" a="1"/>
  <c r="K9" i="2" s="1"/>
  <c r="L4" i="2" a="1"/>
  <c r="L4" i="2" s="1"/>
  <c r="K4" i="2" a="1"/>
  <c r="K4" i="2" s="1"/>
  <c r="L16" i="2" a="1"/>
  <c r="L16" i="2" s="1"/>
  <c r="O4" i="2" a="1"/>
  <c r="O4" i="2" s="1"/>
  <c r="O8" i="2" a="1"/>
  <c r="O8" i="2" s="1"/>
  <c r="O22" i="2" a="1"/>
  <c r="O22" i="2" s="1"/>
  <c r="O19" i="2" a="1"/>
  <c r="O19" i="2" s="1"/>
  <c r="O25" i="2" a="1"/>
  <c r="O25" i="2" s="1"/>
  <c r="K3" i="2" a="1"/>
  <c r="K3" i="2" s="1"/>
  <c r="L3" i="2" a="1"/>
  <c r="L3" i="2" s="1"/>
  <c r="L5" i="2" a="1"/>
  <c r="L5" i="2" s="1"/>
  <c r="K5" i="2" a="1"/>
  <c r="K5" i="2" s="1"/>
  <c r="L7" i="2" a="1"/>
  <c r="L7" i="2" s="1"/>
  <c r="K7" i="2" a="1"/>
  <c r="K7" i="2" s="1"/>
  <c r="L11" i="2" a="1"/>
  <c r="L11" i="2" s="1"/>
  <c r="K11" i="2" a="1"/>
  <c r="K11" i="2" s="1"/>
  <c r="O23" i="2" a="1"/>
  <c r="O23" i="2" s="1"/>
  <c r="L8" i="2" a="1"/>
  <c r="L8" i="2" s="1"/>
  <c r="K8" i="2" a="1"/>
  <c r="K8" i="2" s="1"/>
  <c r="L10" i="2" a="1"/>
  <c r="L10" i="2" s="1"/>
  <c r="Q10" i="2" s="1" a="1"/>
  <c r="Q10" i="2" s="1"/>
  <c r="K10" i="2" a="1"/>
  <c r="K10" i="2" s="1"/>
  <c r="P10" i="2" s="1" a="1"/>
  <c r="P10" i="2" s="1"/>
  <c r="O24" i="2" a="1"/>
  <c r="O24" i="2" s="1"/>
  <c r="O14" i="2" a="1"/>
  <c r="O14" i="2" s="1"/>
  <c r="Q14" i="2" s="1" a="1"/>
  <c r="Q14" i="2" s="1"/>
  <c r="L25" i="2" a="1"/>
  <c r="L25" i="2" s="1"/>
  <c r="K25" i="2" a="1"/>
  <c r="K25" i="2" s="1"/>
  <c r="P25" i="2" s="1" a="1"/>
  <c r="P25" i="2" s="1"/>
  <c r="O6" i="2" a="1"/>
  <c r="O6" i="2" s="1"/>
  <c r="O10" i="2" a="1"/>
  <c r="O10" i="2" s="1"/>
  <c r="L13" i="2" a="1"/>
  <c r="L13" i="2" s="1"/>
  <c r="K13" i="2" a="1"/>
  <c r="K13" i="2" s="1"/>
  <c r="K17" i="2" a="1"/>
  <c r="K17" i="2" s="1"/>
  <c r="L17" i="2" a="1"/>
  <c r="L17" i="2" s="1"/>
  <c r="L23" i="2" a="1"/>
  <c r="L23" i="2" s="1"/>
  <c r="Q23" i="2" s="1" a="1"/>
  <c r="Q23" i="2" s="1"/>
  <c r="K23" i="2" a="1"/>
  <c r="K23" i="2" s="1"/>
  <c r="P23" i="2" s="1" a="1"/>
  <c r="P23" i="2" s="1"/>
  <c r="L15" i="2" a="1"/>
  <c r="L15" i="2" s="1"/>
  <c r="Q15" i="2" s="1" a="1"/>
  <c r="Q15" i="2" s="1"/>
  <c r="O3" i="2" a="1"/>
  <c r="O3" i="2" s="1"/>
  <c r="O5" i="2" a="1"/>
  <c r="O5" i="2" s="1"/>
  <c r="O7" i="2" a="1"/>
  <c r="O7" i="2" s="1"/>
  <c r="O9" i="2" a="1"/>
  <c r="O9" i="2" s="1"/>
  <c r="O11" i="2" a="1"/>
  <c r="O11" i="2" s="1"/>
  <c r="O15" i="2" a="1"/>
  <c r="O15" i="2" s="1"/>
  <c r="K18" i="2" a="1"/>
  <c r="K18" i="2" s="1"/>
  <c r="P18" i="2" s="1" a="1"/>
  <c r="P18" i="2" s="1"/>
  <c r="C9" i="3" s="1" a="1"/>
  <c r="C9" i="3" s="1"/>
  <c r="L18" i="2" a="1"/>
  <c r="L18" i="2" s="1"/>
  <c r="Q18" i="2" s="1" a="1"/>
  <c r="Q18" i="2" s="1"/>
  <c r="L24" i="2" a="1"/>
  <c r="L24" i="2" s="1"/>
  <c r="K24" i="2" a="1"/>
  <c r="K24" i="2" s="1"/>
  <c r="K3" i="3" a="1"/>
  <c r="K3" i="3" s="1"/>
  <c r="L3" i="3" s="1" a="1"/>
  <c r="L3" i="3" s="1"/>
  <c r="F3" i="3" a="1"/>
  <c r="F3" i="3" s="1"/>
  <c r="Q25" i="2" l="1" a="1"/>
  <c r="Q25" i="2" s="1"/>
  <c r="Q24" i="2" a="1"/>
  <c r="Q24" i="2" s="1"/>
  <c r="P24" i="2" a="1"/>
  <c r="P24" i="2" s="1"/>
  <c r="O26" i="2" a="1"/>
  <c r="O26" i="2" s="1"/>
  <c r="P19" i="2" a="1"/>
  <c r="P19" i="2" s="1"/>
  <c r="Q19" i="2" a="1"/>
  <c r="Q19" i="2" s="1"/>
  <c r="P8" i="2" a="1"/>
  <c r="P8" i="2" s="1"/>
  <c r="Q8" i="2" a="1"/>
  <c r="Q8" i="2" s="1"/>
  <c r="P22" i="2" a="1"/>
  <c r="P22" i="2" s="1"/>
  <c r="P26" i="2" s="1" a="1"/>
  <c r="P26" i="2" s="1"/>
  <c r="C6" i="3" s="1" a="1"/>
  <c r="C6" i="3" s="1"/>
  <c r="Q3" i="2" a="1"/>
  <c r="Q3" i="2" s="1"/>
  <c r="P3" i="2" a="1"/>
  <c r="P3" i="2" s="1"/>
  <c r="Q4" i="2" a="1"/>
  <c r="Q4" i="2" s="1"/>
  <c r="P7" i="2" a="1"/>
  <c r="P7" i="2" s="1"/>
  <c r="Q7" i="2" a="1"/>
  <c r="Q7" i="2" s="1"/>
  <c r="B7" i="3" a="1"/>
  <c r="B7" i="3" s="1"/>
  <c r="Q16" i="2" a="1"/>
  <c r="Q16" i="2" s="1"/>
  <c r="D7" i="3" s="1" a="1"/>
  <c r="D7" i="3" s="1"/>
  <c r="P4" i="2" a="1"/>
  <c r="P4" i="2" s="1"/>
  <c r="O16" i="2" a="1"/>
  <c r="O16" i="2" s="1"/>
  <c r="P14" i="2" a="1"/>
  <c r="P14" i="2" s="1"/>
  <c r="P16" i="2" s="1" a="1"/>
  <c r="P16" i="2" s="1"/>
  <c r="C7" i="3" s="1" a="1"/>
  <c r="C7" i="3" s="1"/>
  <c r="P11" i="2" a="1"/>
  <c r="P11" i="2" s="1"/>
  <c r="P9" i="2" a="1"/>
  <c r="P9" i="2" s="1"/>
  <c r="P6" i="2" a="1"/>
  <c r="P6" i="2" s="1"/>
  <c r="P5" i="2" a="1"/>
  <c r="P5" i="2" s="1"/>
  <c r="D9" i="3" a="1"/>
  <c r="D9" i="3" s="1"/>
  <c r="Q5" i="2" a="1"/>
  <c r="Q5" i="2" s="1"/>
  <c r="Q22" i="2" a="1"/>
  <c r="Q22" i="2" s="1"/>
  <c r="Q11" i="2" a="1"/>
  <c r="Q11" i="2" s="1"/>
  <c r="Q9" i="2" a="1"/>
  <c r="Q9" i="2" s="1"/>
  <c r="Q6" i="2" a="1"/>
  <c r="Q6" i="2" s="1"/>
  <c r="B6" i="3" l="1" a="1"/>
  <c r="B6" i="3" s="1"/>
  <c r="Q26" i="2" a="1"/>
  <c r="Q26" i="2" s="1"/>
  <c r="D6" i="3" s="1" a="1"/>
  <c r="D6" i="3" s="1"/>
  <c r="P12" i="2" a="1"/>
  <c r="P12" i="2" s="1"/>
  <c r="C8" i="3" s="1" a="1"/>
  <c r="C8" i="3" s="1"/>
  <c r="B8" i="3" a="1"/>
  <c r="B8" i="3" s="1"/>
  <c r="Q12" i="2" a="1"/>
  <c r="Q12" i="2" s="1"/>
  <c r="D8" i="3" s="1" a="1"/>
  <c r="D8" i="3" s="1"/>
  <c r="C11" i="3" a="1"/>
  <c r="C11" i="3" s="1"/>
  <c r="G3" i="3" l="1" a="1"/>
  <c r="G3" i="3" s="1"/>
  <c r="M3" i="3" a="1"/>
  <c r="M3" i="3" s="1"/>
  <c r="H3" i="3" a="1"/>
  <c r="H3" i="3" s="1"/>
  <c r="D11" i="3" a="1"/>
  <c r="D11" i="3" s="1"/>
  <c r="N3" i="3" l="1" a="1"/>
  <c r="N3" i="3" s="1"/>
  <c r="J3" i="3" a="1"/>
  <c r="J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<sst xmlns="http://schemas.openxmlformats.org/spreadsheetml/2006/main" count="108" uniqueCount="74">
  <si>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</si>
  <si>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</si>
  <si>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</si>
  <si>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</si>
  <si>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Projects</t>
  </si>
  <si>
    <t>projects-export-2025-12-17</t>
  </si>
  <si>
    <t>Projects - projects-export-2025</t>
  </si>
  <si>
    <t>Name</t>
  </si>
  <si>
    <t>Phase</t>
  </si>
  <si>
    <t>Cost</t>
  </si>
  <si>
    <t>Effort</t>
  </si>
  <si>
    <t>Benefit</t>
  </si>
  <si>
    <t>Start Date</t>
  </si>
  <si>
    <t>End Date</t>
  </si>
  <si>
    <t>NMS Date</t>
  </si>
  <si>
    <t>Health</t>
  </si>
  <si>
    <t>Project Days</t>
  </si>
  <si>
    <t>Daily $</t>
  </si>
  <si>
    <t>Daily Effort</t>
  </si>
  <si>
    <t>Filter Start</t>
  </si>
  <si>
    <t>Filter End</t>
  </si>
  <si>
    <t>Filter Days</t>
  </si>
  <si>
    <t>Filter $</t>
  </si>
  <si>
    <t>Filter Effort</t>
  </si>
  <si>
    <t>SEL 2025</t>
  </si>
  <si>
    <t>Delivery</t>
  </si>
  <si>
    <t>Healthy</t>
  </si>
  <si>
    <t>2025 Existing Program #1</t>
  </si>
  <si>
    <t>GNB Audit</t>
  </si>
  <si>
    <t>2025-24-01</t>
  </si>
  <si>
    <t>Caution</t>
  </si>
  <si>
    <t>Priority Pilot</t>
  </si>
  <si>
    <t>2025-15-04</t>
  </si>
  <si>
    <t>Fundraising25</t>
  </si>
  <si>
    <t>Danger</t>
  </si>
  <si>
    <t>School Support Program 25</t>
  </si>
  <si>
    <t>RISK1</t>
  </si>
  <si>
    <t>2025-31-03</t>
  </si>
  <si>
    <t>2025 Admin</t>
  </si>
  <si>
    <t>Digital Donor</t>
  </si>
  <si>
    <t>Seniors Conference 2025</t>
  </si>
  <si>
    <t>Discovery</t>
  </si>
  <si>
    <t>2025-21-04</t>
  </si>
  <si>
    <t>Youth Community</t>
  </si>
  <si>
    <t>Close Books for FY24</t>
  </si>
  <si>
    <t>Done</t>
  </si>
  <si>
    <t>ACGP Funding</t>
  </si>
  <si>
    <t xml:space="preserve"> </t>
  </si>
  <si>
    <t>AGM2025</t>
  </si>
  <si>
    <t>Planning</t>
  </si>
  <si>
    <t>2025-24-09</t>
  </si>
  <si>
    <t>New Women's Program</t>
  </si>
  <si>
    <t>2025-24-06</t>
  </si>
  <si>
    <t>Strat Plan 2030</t>
  </si>
  <si>
    <t>Youth Conference 2025</t>
  </si>
  <si>
    <t>2025-10-07</t>
  </si>
  <si>
    <t>Dashboard</t>
  </si>
  <si>
    <t>Table 1</t>
  </si>
  <si>
    <t>Start</t>
  </si>
  <si>
    <t>End</t>
  </si>
  <si>
    <t>Number of Days</t>
  </si>
  <si>
    <t>Default Annual Cost</t>
  </si>
  <si>
    <t>Calc Budget</t>
  </si>
  <si>
    <t>$USED</t>
  </si>
  <si>
    <t>$ left</t>
  </si>
  <si>
    <t>Default Effort</t>
  </si>
  <si>
    <t>Effort Used</t>
  </si>
  <si>
    <t>Calculated BGT Effort</t>
  </si>
  <si>
    <t>Effort Left</t>
  </si>
  <si>
    <t>%Cost</t>
  </si>
  <si>
    <t>%Effort</t>
  </si>
  <si>
    <t>Dashboard Totals</t>
  </si>
  <si>
    <t>Inititalives</t>
  </si>
  <si>
    <t>Total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</si>
</sst>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yyyy\-mm\-dd"/>
    <numFmt numFmtId="166" formatCode="&quot;$&quot;0"/>
    <numFmt numFmtId="167" formatCode="&quot;$&quot;0.00"/>
  </numFmts>
  <fonts count="5" x14ac:knownFonts="1">
    <font>
      <sz val="10"/>
      <color indexed="8"/>
      <name val="Helvetica Neue"/>
    </font>
    <font>
      <sz val="12"/>
      <color indexed="8"/>
      <name val="Helvetica Neue"/>
      <family val="2"/>
    </font>
    <font>
      <sz val="14"/>
      <color indexed="8"/>
      <name val="Helvetica Neue"/>
      <family val="2"/>
    </font>
    <font>
      <u/>
      <sz val="12"/>
      <color indexed="11"/>
      <name val="Helvetica Neue"/>
      <family val="2"/>
    </font>
    <font>
      <b/>
      <sz val="10"/>
      <color indexed="8"/>
      <name val="Helvetica Neue"/>
      <family val="2"/>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8"/>
        <bgColor auto="1"/>
      </patternFill>
    </fill>
    <fill>
      <patternFill patternType="solid">
        <fgColor indexed="16"/>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alignment vertical="top" wrapText="1"/>
    </xf>
  </cellStyleXfs>
  <cellXfs count="60">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pplyAlignment="1">
      <alignment vertical="top"/>
    </xf>
    <xf numFmtId="49" fontId="4" fillId="4" borderId="1" xfId="0" applyNumberFormat="1" applyFont="1" applyFill="1" applyBorder="1" applyAlignment="1">
      <alignment vertical="top"/>
    </xf>
    <xf numFmtId="49" fontId="4" fillId="4" borderId="1" xfId="0" applyNumberFormat="1" applyFont="1" applyFill="1" applyBorder="1" applyAlignment="1">
      <alignment horizontal="left" vertical="top"/>
    </xf>
    <xf numFmtId="49" fontId="4" fillId="5" borderId="2" xfId="0" applyNumberFormat="1" applyFont="1" applyFill="1" applyBorder="1" applyAlignment="1">
      <alignment vertical="top"/>
    </xf>
    <xf numFmtId="49" fontId="0" fillId="0" borderId="3" xfId="0" applyNumberFormat="1" applyBorder="1" applyAlignment="1">
      <alignment vertical="top"/>
    </xf>
    <xf numFmtId="164" fontId="0" fillId="0" borderId="4" xfId="0" applyNumberFormat="1" applyBorder="1" applyAlignment="1">
      <alignment vertical="top"/>
    </xf>
    <xf numFmtId="0" fontId="0" fillId="0" borderId="4" xfId="0" applyNumberFormat="1" applyBorder="1" applyAlignment="1">
      <alignment vertical="top"/>
    </xf>
    <xf numFmtId="165" fontId="0" fillId="0" borderId="4" xfId="0" applyNumberFormat="1" applyBorder="1" applyAlignment="1">
      <alignment vertical="top"/>
    </xf>
    <xf numFmtId="0" fontId="0" fillId="0" borderId="4" xfId="0" applyBorder="1" applyAlignment="1">
      <alignment vertical="top"/>
    </xf>
    <xf numFmtId="49" fontId="0" fillId="0" borderId="4" xfId="0" applyNumberFormat="1" applyBorder="1" applyAlignment="1">
      <alignment vertical="top"/>
    </xf>
    <xf numFmtId="1" fontId="0" fillId="0" borderId="4" xfId="0" applyNumberFormat="1" applyBorder="1" applyAlignment="1">
      <alignment vertical="top"/>
    </xf>
    <xf numFmtId="166" fontId="0" fillId="0" borderId="4" xfId="0" applyNumberFormat="1" applyBorder="1" applyAlignment="1">
      <alignment vertical="top"/>
    </xf>
    <xf numFmtId="167" fontId="0" fillId="0" borderId="4" xfId="0" applyNumberFormat="1" applyBorder="1" applyAlignment="1">
      <alignment vertical="top"/>
    </xf>
    <xf numFmtId="49" fontId="4" fillId="5" borderId="5" xfId="0" applyNumberFormat="1" applyFont="1" applyFill="1" applyBorder="1" applyAlignment="1">
      <alignment vertical="top"/>
    </xf>
    <xf numFmtId="49" fontId="0" fillId="0" borderId="6" xfId="0" applyNumberFormat="1" applyBorder="1" applyAlignment="1">
      <alignment vertical="top"/>
    </xf>
    <xf numFmtId="167" fontId="0" fillId="0" borderId="7" xfId="0" applyNumberFormat="1" applyBorder="1" applyAlignment="1">
      <alignment vertical="top"/>
    </xf>
    <xf numFmtId="3" fontId="0" fillId="0" borderId="7" xfId="0" applyNumberFormat="1" applyBorder="1" applyAlignment="1">
      <alignment vertical="top"/>
    </xf>
    <xf numFmtId="0" fontId="0" fillId="0" borderId="7" xfId="0" applyNumberFormat="1" applyBorder="1" applyAlignment="1">
      <alignment vertical="top"/>
    </xf>
    <xf numFmtId="165"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pplyAlignment="1">
      <alignment vertical="top"/>
    </xf>
    <xf numFmtId="1" fontId="0" fillId="0" borderId="7" xfId="0" applyNumberFormat="1" applyBorder="1" applyAlignment="1">
      <alignment vertical="top"/>
    </xf>
    <xf numFmtId="166" fontId="0" fillId="0" borderId="7" xfId="0" applyNumberFormat="1" applyBorder="1" applyAlignment="1">
      <alignment vertical="top"/>
    </xf>
    <xf numFmtId="164" fontId="0" fillId="0" borderId="7" xfId="0" applyNumberFormat="1" applyBorder="1" applyAlignment="1">
      <alignment vertical="top"/>
    </xf>
    <xf numFmtId="0" fontId="4" fillId="5" borderId="5" xfId="0" applyFont="1" applyFill="1" applyBorder="1" applyAlignment="1">
      <alignment vertical="top"/>
    </xf>
    <xf numFmtId="0" fontId="0" fillId="0" borderId="6" xfId="0" applyBorder="1" applyAlignment="1">
      <alignment vertical="top"/>
    </xf>
    <xf numFmtId="0" fontId="4" fillId="6" borderId="5" xfId="0" applyFont="1" applyFill="1" applyBorder="1" applyAlignment="1">
      <alignment vertical="top"/>
    </xf>
    <xf numFmtId="0" fontId="0" fillId="6" borderId="6" xfId="0" applyFill="1" applyBorder="1" applyAlignment="1">
      <alignment vertical="top"/>
    </xf>
    <xf numFmtId="0" fontId="0" fillId="6" borderId="7" xfId="0" applyFill="1" applyBorder="1" applyAlignment="1">
      <alignment vertical="top"/>
    </xf>
    <xf numFmtId="165" fontId="0" fillId="6" borderId="7" xfId="0" applyNumberFormat="1" applyFill="1" applyBorder="1" applyAlignment="1">
      <alignment vertical="top"/>
    </xf>
    <xf numFmtId="1" fontId="0" fillId="6" borderId="7" xfId="0" applyNumberFormat="1" applyFill="1" applyBorder="1" applyAlignment="1">
      <alignment vertical="top"/>
    </xf>
    <xf numFmtId="0" fontId="0" fillId="0" borderId="0" xfId="0" applyNumberFormat="1">
      <alignment vertical="top" wrapText="1"/>
    </xf>
    <xf numFmtId="0" fontId="4" fillId="4" borderId="1" xfId="0" applyFont="1" applyFill="1" applyBorder="1">
      <alignment vertical="top" wrapText="1"/>
    </xf>
    <xf numFmtId="49" fontId="4" fillId="4" borderId="1" xfId="0" applyNumberFormat="1" applyFont="1" applyFill="1" applyBorder="1">
      <alignment vertical="top" wrapText="1"/>
    </xf>
    <xf numFmtId="49" fontId="4" fillId="5" borderId="2" xfId="0" applyNumberFormat="1" applyFont="1" applyFill="1" applyBorder="1">
      <alignment vertical="top" wrapText="1"/>
    </xf>
    <xf numFmtId="165" fontId="0" fillId="7" borderId="3" xfId="0" applyNumberFormat="1" applyFill="1" applyBorder="1">
      <alignment vertical="top" wrapText="1"/>
    </xf>
    <xf numFmtId="165" fontId="0" fillId="7" borderId="4" xfId="0" applyNumberFormat="1" applyFill="1" applyBorder="1">
      <alignment vertical="top" wrapText="1"/>
    </xf>
    <xf numFmtId="0" fontId="0" fillId="0" borderId="4" xfId="0" applyNumberFormat="1" applyBorder="1">
      <alignment vertical="top" wrapText="1"/>
    </xf>
    <xf numFmtId="166" fontId="0" fillId="7" borderId="4" xfId="0" applyNumberFormat="1" applyFill="1" applyBorder="1">
      <alignment vertical="top" wrapText="1"/>
    </xf>
    <xf numFmtId="166" fontId="0" fillId="0" borderId="4" xfId="0" applyNumberFormat="1" applyBorder="1">
      <alignment vertical="top" wrapText="1"/>
    </xf>
    <xf numFmtId="0" fontId="0" fillId="7" borderId="4" xfId="0" applyNumberFormat="1" applyFill="1" applyBorder="1">
      <alignment vertical="top" wrapText="1"/>
    </xf>
    <xf numFmtId="1" fontId="0" fillId="0" borderId="4" xfId="0" applyNumberFormat="1" applyBorder="1">
      <alignment vertical="top" wrapText="1"/>
    </xf>
    <xf numFmtId="9" fontId="0" fillId="0" borderId="4" xfId="0" applyNumberFormat="1" applyBorder="1">
      <alignment vertical="top" wrapText="1"/>
    </xf>
    <xf numFmtId="0" fontId="4" fillId="5" borderId="5" xfId="0" applyFont="1" applyFill="1" applyBorder="1">
      <alignment vertical="top" wrapText="1"/>
    </xf>
    <xf numFmtId="0" fontId="0" fillId="0" borderId="6" xfId="0" applyBorder="1">
      <alignment vertical="top" wrapText="1"/>
    </xf>
    <xf numFmtId="0" fontId="0" fillId="0" borderId="7" xfId="0" applyBorder="1">
      <alignment vertical="top" wrapText="1"/>
    </xf>
    <xf numFmtId="49" fontId="0" fillId="0" borderId="6" xfId="0" applyNumberFormat="1" applyBorder="1">
      <alignment vertical="top" wrapText="1"/>
    </xf>
    <xf numFmtId="49" fontId="0" fillId="0" borderId="7" xfId="0" applyNumberFormat="1" applyBorder="1">
      <alignment vertical="top" wrapText="1"/>
    </xf>
    <xf numFmtId="49" fontId="4" fillId="5" borderId="5" xfId="0" applyNumberFormat="1" applyFont="1" applyFill="1" applyBorder="1">
      <alignment vertical="top" wrapText="1"/>
    </xf>
    <xf numFmtId="0" fontId="0" fillId="0" borderId="6" xfId="0" applyNumberFormat="1" applyBorder="1">
      <alignment vertical="top" wrapText="1"/>
    </xf>
    <xf numFmtId="166" fontId="0" fillId="0" borderId="7" xfId="0" applyNumberFormat="1" applyBorder="1">
      <alignment vertical="top" wrapText="1"/>
    </xf>
    <xf numFmtId="1" fontId="0" fillId="0" borderId="7" xfId="0" applyNumberFormat="1" applyBorder="1">
      <alignment vertical="top" wrapText="1"/>
    </xf>
    <xf numFmtId="0" fontId="1" fillId="0" borderId="0" xfId="0" applyFont="1" applyAlignment="1">
      <alignment horizontal="center" vertical="center"/>
    </xf>
    <xf numFmtId="0" fontId="1" fillId="0" borderId="0" xfId="0" applyFont="1" applyAlignment="1">
      <alignment horizontal="left" vertical="top" wrapText="1"/>
    </xf>
    <xf numFmtId="0" fontId="0" fillId="0" borderId="0" xfId="0">
      <alignment vertical="top" wrapText="1"/>
    </xf>
  </cellXfs>
  <cellStyles count="1">
    <cellStyle name="Normal" xfId="0" builtinId="0"/>
  </cellStyles>
  <dxfs count="3">
    <dxf>
      <font>
        <color rgb="FF669C35"/>
      </font>
    </dxf>
    <dxf>
      <font>
        <color rgb="FFFDAD00"/>
      </font>
      <fill>
        <patternFill patternType="solid">
          <fgColor indexed="18"/>
          <bgColor indexed="19"/>
        </patternFill>
      </fill>
    </dxf>
    <dxf>
      <font>
        <color rgb="FFE324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88F94E"/>
      <rgbColor rgb="FFE32400"/>
      <rgbColor rgb="00000000"/>
      <rgbColor rgb="FFFEFFFE"/>
      <rgbColor rgb="FFFDAD00"/>
      <rgbColor rgb="FF669C35"/>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x14ac:dyDescent="0.15"/>
  <cols>
    <col min="1" max="1" width="2" customWidth="1"/>
    <col min="2" max="4" width="33.6640625" customWidth="1"/>
  </cols>
  <sheetData>
    <row r="3" spans="2:4" ht="50" customHeight="1" x14ac:dyDescent="0.15">
      <c r="B3" s="58" t="s">
        <v>0</v>
      </c>
      <c r="C3" s="59"/>
      <c r="D3" s="59"/>
    </row>
    <row r="7" spans="2:4" ht="19" x14ac:dyDescent="0.15">
      <c r="B7" s="1" t="s">
        <v>1</v>
      </c>
      <c r="C7" s="1" t="s">
        <v>2</v>
      </c>
      <c r="D7" s="1" t="s">
        <v>3</v>
      </c>
    </row>
    <row r="9" spans="2:4" ht="17" x14ac:dyDescent="0.15">
      <c r="B9" s="2" t="s">
        <v>4</v>
      </c>
      <c r="C9" s="2"/>
      <c r="D9" s="2"/>
    </row>
    <row r="10" spans="2:4" ht="17" x14ac:dyDescent="0.15">
      <c r="B10" s="3"/>
      <c r="C10" s="3" t="s">
        <v>5</v>
      </c>
      <c r="D10" s="4" t="s">
        <v>6</v>
      </c>
    </row>
    <row r="11" spans="2:4" ht="17" x14ac:dyDescent="0.15">
      <c r="B11" s="2" t="s">
        <v>56</v>
      </c>
      <c r="C11" s="2"/>
      <c r="D11" s="2"/>
    </row>
    <row r="12" spans="2:4" ht="17" x14ac:dyDescent="0.15">
      <c r="B12" s="3"/>
      <c r="C12" s="3" t="s">
        <v>57</v>
      </c>
      <c r="D12" s="4" t="s">
        <v>56</v>
      </c>
    </row>
  </sheetData>
  <mergeCells count="1">
    <mergeCell ref="B3:D3"/>
  </mergeCells>
  <hyperlinks>
    <hyperlink ref="D10" location="'Projects - projects-export-2025'!R2C1" display="Projects - projects-export-2025" xr:uid="{00000000-0004-0000-0000-000000000000}"/>
    <hyperlink ref="D12" location="'Dashboard'!R2C1" display="Dashboard"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6"/>
  <sheetViews>
    <sheetView showGridLines="0" workbookViewId="0">
      <selection activeCell="Q21" sqref="Q21"/>
    </sheetView>
  </sheetViews>
  <sheetFormatPr baseColWidth="10" defaultColWidth="8.33203125" defaultRowHeight="20" customHeight="1" x14ac:dyDescent="0.15"/>
  <cols>
    <col min="1" max="1" width="23.5" style="5" customWidth="1"/>
    <col min="2" max="2" width="8.83203125" style="5" customWidth="1"/>
    <col min="3" max="3" width="9.83203125" style="5" customWidth="1"/>
    <col min="4" max="4" width="5.83203125" style="5" customWidth="1"/>
    <col min="5" max="5" width="7.1640625" style="5" customWidth="1"/>
    <col min="6" max="8" width="10.1640625" style="5" customWidth="1"/>
    <col min="9" max="9" width="7.33203125" style="5" customWidth="1"/>
    <col min="10" max="10" width="11.6640625" style="5" customWidth="1"/>
    <col min="11" max="11" width="6.83203125" style="5" customWidth="1"/>
    <col min="12" max="12" width="10.1640625" style="5" customWidth="1"/>
    <col min="13" max="17" width="11.6640625" style="5" customWidth="1"/>
    <col min="18" max="18" width="8.33203125" style="5" customWidth="1"/>
    <col min="19" max="16384" width="8.33203125" style="5"/>
  </cols>
  <sheetData>
    <row r="1" spans="1:17" ht="27.75" customHeight="1" x14ac:dyDescent="0.15">
      <c r="A1" s="57" t="s">
        <v>5</v>
      </c>
      <c r="B1" s="57"/>
      <c r="C1" s="57"/>
      <c r="D1" s="57"/>
      <c r="E1" s="57"/>
      <c r="F1" s="57"/>
      <c r="G1" s="57"/>
      <c r="H1" s="57"/>
      <c r="I1" s="57"/>
      <c r="J1" s="57"/>
      <c r="K1" s="57"/>
      <c r="L1" s="57"/>
      <c r="M1" s="57"/>
      <c r="N1" s="57"/>
      <c r="O1" s="57"/>
      <c r="P1" s="57"/>
      <c r="Q1" s="57"/>
    </row>
    <row r="2" spans="1:17" ht="20.25" customHeight="1" x14ac:dyDescent="0.15">
      <c r="A2" s="6" t="s">
        <v>7</v>
      </c>
      <c r="B2" s="6" t="s">
        <v>8</v>
      </c>
      <c r="C2" s="6" t="s">
        <v>9</v>
      </c>
      <c r="D2" s="6" t="s">
        <v>10</v>
      </c>
      <c r="E2" s="6" t="s">
        <v>11</v>
      </c>
      <c r="F2" s="6" t="s">
        <v>12</v>
      </c>
      <c r="G2" s="6" t="s">
        <v>13</v>
      </c>
      <c r="H2" s="6" t="s">
        <v>14</v>
      </c>
      <c r="I2" s="6" t="s">
        <v>15</v>
      </c>
      <c r="J2" s="6" t="s">
        <v>16</v>
      </c>
      <c r="K2" s="6" t="s">
        <v>17</v>
      </c>
      <c r="L2" s="6" t="s">
        <v>18</v>
      </c>
      <c r="M2" s="7" t="s">
        <v>19</v>
      </c>
      <c r="N2" s="7" t="s">
        <v>20</v>
      </c>
      <c r="O2" s="7" t="s">
        <v>21</v>
      </c>
      <c r="P2" s="7" t="s">
        <v>22</v>
      </c>
      <c r="Q2" s="7" t="s">
        <v>23</v>
      </c>
    </row>
    <row r="3" spans="1:17" ht="20.25" customHeight="1" x14ac:dyDescent="0.15">
      <c r="A3" s="8" t="s">
        <v>24</v>
      </c>
      <c r="B3" s="9" t="s">
        <v>25</v>
      </c>
      <c r="C3" s="10">
        <v>40000</v>
      </c>
      <c r="D3" s="11">
        <v>800</v>
      </c>
      <c r="E3" s="11">
        <v>0</v>
      </c>
      <c r="F3" s="12">
        <v>45658</v>
      </c>
      <c r="G3" s="12">
        <v>46022</v>
      </c>
      <c r="H3" s="13"/>
      <c r="I3" s="14" t="s">
        <v>26</v>
      </c>
      <c r="J3" s="15" cm="1">
        <f t="array" ref="J3">G3-F3+1</f>
        <v>365</v>
      </c>
      <c r="K3" s="16" cm="1">
        <f t="array" ref="K3">C3/J3</f>
        <v>109.58904109589041</v>
      </c>
      <c r="L3" s="15" cm="1">
        <f t="array" ref="L3">D3/J3</f>
        <v>2.1917808219178081</v>
      </c>
      <c r="M3" s="12" cm="1">
        <f t="array" ref="M3">IF(F3&gt;Dashboard!$B$3,F3,Dashboard!$B$3)</f>
        <v>45748</v>
      </c>
      <c r="N3" s="12" cm="1">
        <f t="array" ref="N3">IF(G3&lt;Dashboard!$C$3,G3,Dashboard!$C$3)</f>
        <v>45838</v>
      </c>
      <c r="O3" s="11" cm="1">
        <f t="array" ref="O3">MAX(0,(N3-M3+1))</f>
        <v>91</v>
      </c>
      <c r="P3" s="17" cm="1">
        <f t="array" ref="P3">K3*O3</f>
        <v>9972.6027397260277</v>
      </c>
      <c r="Q3" s="15" cm="1">
        <f t="array" ref="Q3">L3*O3</f>
        <v>199.45205479452054</v>
      </c>
    </row>
    <row r="4" spans="1:17" ht="20" customHeight="1" x14ac:dyDescent="0.15">
      <c r="A4" s="18" t="s">
        <v>27</v>
      </c>
      <c r="B4" s="19" t="s">
        <v>25</v>
      </c>
      <c r="C4" s="20">
        <v>50000</v>
      </c>
      <c r="D4" s="21">
        <v>1000</v>
      </c>
      <c r="E4" s="22">
        <v>0</v>
      </c>
      <c r="F4" s="23">
        <v>45658</v>
      </c>
      <c r="G4" s="23">
        <v>46022</v>
      </c>
      <c r="H4" s="24"/>
      <c r="I4" s="25" t="s">
        <v>26</v>
      </c>
      <c r="J4" s="26" cm="1">
        <f t="array" ref="J4">G4-F4+1</f>
        <v>365</v>
      </c>
      <c r="K4" s="27" cm="1">
        <f t="array" ref="K4">C4/J4</f>
        <v>136.98630136986301</v>
      </c>
      <c r="L4" s="26" cm="1">
        <f t="array" ref="L4">D4/J4</f>
        <v>2.7397260273972601</v>
      </c>
      <c r="M4" s="23" cm="1">
        <f t="array" ref="M4">IF(F4&gt;Dashboard!$B$3,F4,Dashboard!$B$3)</f>
        <v>45748</v>
      </c>
      <c r="N4" s="23" cm="1">
        <f t="array" ref="N4">IF(G4&lt;Dashboard!$C$3,G4,Dashboard!$C$3)</f>
        <v>45838</v>
      </c>
      <c r="O4" s="22" cm="1">
        <f t="array" ref="O4">MAX(0,(N4-M4+1))</f>
        <v>91</v>
      </c>
      <c r="P4" s="20" cm="1">
        <f t="array" ref="P4">K4*O4</f>
        <v>12465.753424657534</v>
      </c>
      <c r="Q4" s="26" cm="1">
        <f t="array" ref="Q4">L4*O4</f>
        <v>249.31506849315068</v>
      </c>
    </row>
    <row r="5" spans="1:17" ht="20" customHeight="1" x14ac:dyDescent="0.15">
      <c r="A5" s="18" t="s">
        <v>28</v>
      </c>
      <c r="B5" s="19" t="s">
        <v>25</v>
      </c>
      <c r="C5" s="28">
        <v>20000</v>
      </c>
      <c r="D5" s="22">
        <v>300</v>
      </c>
      <c r="E5" s="22">
        <v>0</v>
      </c>
      <c r="F5" s="23">
        <v>45658</v>
      </c>
      <c r="G5" s="23">
        <v>45838</v>
      </c>
      <c r="H5" s="25" t="s">
        <v>29</v>
      </c>
      <c r="I5" s="25" t="s">
        <v>30</v>
      </c>
      <c r="J5" s="26" cm="1">
        <f t="array" ref="J5">G5-F5+1</f>
        <v>181</v>
      </c>
      <c r="K5" s="27" cm="1">
        <f t="array" ref="K5">C5/J5</f>
        <v>110.49723756906077</v>
      </c>
      <c r="L5" s="26" cm="1">
        <f t="array" ref="L5">D5/J5</f>
        <v>1.6574585635359116</v>
      </c>
      <c r="M5" s="23" cm="1">
        <f t="array" ref="M5">IF(F5&gt;Dashboard!$B$3,F5,Dashboard!$B$3)</f>
        <v>45748</v>
      </c>
      <c r="N5" s="23" cm="1">
        <f t="array" ref="N5">IF(G5&lt;Dashboard!$C$3,G5,Dashboard!$C$3)</f>
        <v>45838</v>
      </c>
      <c r="O5" s="22" cm="1">
        <f t="array" ref="O5">MAX(0,(N5-M5+1))</f>
        <v>91</v>
      </c>
      <c r="P5" s="20" cm="1">
        <f t="array" ref="P5">K5*O5</f>
        <v>10055.24861878453</v>
      </c>
      <c r="Q5" s="26" cm="1">
        <f t="array" ref="Q5">L5*O5</f>
        <v>150.82872928176795</v>
      </c>
    </row>
    <row r="6" spans="1:17" ht="20" customHeight="1" x14ac:dyDescent="0.15">
      <c r="A6" s="18" t="s">
        <v>31</v>
      </c>
      <c r="B6" s="19" t="s">
        <v>25</v>
      </c>
      <c r="C6" s="20">
        <v>5000</v>
      </c>
      <c r="D6" s="22">
        <v>100</v>
      </c>
      <c r="E6" s="22">
        <v>80</v>
      </c>
      <c r="F6" s="23">
        <v>45726</v>
      </c>
      <c r="G6" s="23">
        <v>45789</v>
      </c>
      <c r="H6" s="25" t="s">
        <v>32</v>
      </c>
      <c r="I6" s="25" t="s">
        <v>26</v>
      </c>
      <c r="J6" s="26" cm="1">
        <f t="array" ref="J6">G6-F6+1</f>
        <v>64</v>
      </c>
      <c r="K6" s="27" cm="1">
        <f t="array" ref="K6">C6/J6</f>
        <v>78.125</v>
      </c>
      <c r="L6" s="26" cm="1">
        <f t="array" ref="L6">D6/J6</f>
        <v>1.5625</v>
      </c>
      <c r="M6" s="23" cm="1">
        <f t="array" ref="M6">IF(F6&gt;Dashboard!$B$3,F6,Dashboard!$B$3)</f>
        <v>45748</v>
      </c>
      <c r="N6" s="23" cm="1">
        <f t="array" ref="N6">IF(G6&lt;Dashboard!$C$3,G6,Dashboard!$C$3)</f>
        <v>45789</v>
      </c>
      <c r="O6" s="22" cm="1">
        <f t="array" ref="O6">MAX(0,(N6-M6+1))</f>
        <v>42</v>
      </c>
      <c r="P6" s="20" cm="1">
        <f t="array" ref="P6">K6*O6</f>
        <v>3281.25</v>
      </c>
      <c r="Q6" s="26" cm="1">
        <f t="array" ref="Q6">L6*O6</f>
        <v>65.625</v>
      </c>
    </row>
    <row r="7" spans="1:17" ht="20" customHeight="1" x14ac:dyDescent="0.15">
      <c r="A7" s="18" t="s">
        <v>33</v>
      </c>
      <c r="B7" s="19" t="s">
        <v>25</v>
      </c>
      <c r="C7" s="20">
        <v>20000</v>
      </c>
      <c r="D7" s="22">
        <v>300</v>
      </c>
      <c r="E7" s="22">
        <v>100000</v>
      </c>
      <c r="F7" s="23">
        <v>45658</v>
      </c>
      <c r="G7" s="23">
        <v>46022</v>
      </c>
      <c r="H7" s="24"/>
      <c r="I7" s="25" t="s">
        <v>34</v>
      </c>
      <c r="J7" s="26" cm="1">
        <f t="array" ref="J7">G7-F7+1</f>
        <v>365</v>
      </c>
      <c r="K7" s="27" cm="1">
        <f t="array" ref="K7">C7/J7</f>
        <v>54.794520547945204</v>
      </c>
      <c r="L7" s="26" cm="1">
        <f t="array" ref="L7">D7/J7</f>
        <v>0.82191780821917804</v>
      </c>
      <c r="M7" s="23" cm="1">
        <f t="array" ref="M7">IF(F7&gt;Dashboard!$B$3,F7,Dashboard!$B$3)</f>
        <v>45748</v>
      </c>
      <c r="N7" s="23" cm="1">
        <f t="array" ref="N7">IF(G7&lt;Dashboard!$C$3,G7,Dashboard!$C$3)</f>
        <v>45838</v>
      </c>
      <c r="O7" s="22" cm="1">
        <f t="array" ref="O7">MAX(0,(N7-M7+1))</f>
        <v>91</v>
      </c>
      <c r="P7" s="20" cm="1">
        <f t="array" ref="P7">K7*O7</f>
        <v>4986.3013698630139</v>
      </c>
      <c r="Q7" s="26" cm="1">
        <f t="array" ref="Q7">L7*O7</f>
        <v>74.794520547945197</v>
      </c>
    </row>
    <row r="8" spans="1:17" ht="20" customHeight="1" x14ac:dyDescent="0.15">
      <c r="A8" s="18" t="s">
        <v>35</v>
      </c>
      <c r="B8" s="19" t="s">
        <v>25</v>
      </c>
      <c r="C8" s="20">
        <v>98000</v>
      </c>
      <c r="D8" s="22">
        <v>2400</v>
      </c>
      <c r="E8" s="22">
        <v>0</v>
      </c>
      <c r="F8" s="23">
        <v>45658</v>
      </c>
      <c r="G8" s="23">
        <v>46022</v>
      </c>
      <c r="H8" s="24"/>
      <c r="I8" s="25" t="s">
        <v>26</v>
      </c>
      <c r="J8" s="26" cm="1">
        <f t="array" ref="J8">G8-F8+1</f>
        <v>365</v>
      </c>
      <c r="K8" s="27" cm="1">
        <f t="array" ref="K8">C8/J8</f>
        <v>268.49315068493149</v>
      </c>
      <c r="L8" s="26" cm="1">
        <f t="array" ref="L8">D8/J8</f>
        <v>6.5753424657534243</v>
      </c>
      <c r="M8" s="23" cm="1">
        <f t="array" ref="M8">IF(F8&gt;Dashboard!$B$3,F8,Dashboard!$B$3)</f>
        <v>45748</v>
      </c>
      <c r="N8" s="23" cm="1">
        <f t="array" ref="N8">IF(G8&lt;Dashboard!$C$3,G8,Dashboard!$C$3)</f>
        <v>45838</v>
      </c>
      <c r="O8" s="22" cm="1">
        <f t="array" ref="O8">MAX(0,(N8-M8+1))</f>
        <v>91</v>
      </c>
      <c r="P8" s="20" cm="1">
        <f t="array" ref="P8">K8*O8</f>
        <v>24432.876712328765</v>
      </c>
      <c r="Q8" s="26" cm="1">
        <f t="array" ref="Q8">L8*O8</f>
        <v>598.35616438356158</v>
      </c>
    </row>
    <row r="9" spans="1:17" ht="20" customHeight="1" x14ac:dyDescent="0.15">
      <c r="A9" s="18" t="s">
        <v>36</v>
      </c>
      <c r="B9" s="19" t="s">
        <v>25</v>
      </c>
      <c r="C9" s="20">
        <v>5000</v>
      </c>
      <c r="D9" s="22">
        <v>100</v>
      </c>
      <c r="E9" s="22">
        <v>0</v>
      </c>
      <c r="F9" s="23">
        <v>45658</v>
      </c>
      <c r="G9" s="23">
        <v>46022</v>
      </c>
      <c r="H9" s="25" t="s">
        <v>37</v>
      </c>
      <c r="I9" s="24"/>
      <c r="J9" s="26" cm="1">
        <f t="array" ref="J9">G9-F9+1</f>
        <v>365</v>
      </c>
      <c r="K9" s="27" cm="1">
        <f t="array" ref="K9">C9/J9</f>
        <v>13.698630136986301</v>
      </c>
      <c r="L9" s="26" cm="1">
        <f t="array" ref="L9">D9/J9</f>
        <v>0.27397260273972601</v>
      </c>
      <c r="M9" s="23" cm="1">
        <f t="array" ref="M9">IF(F9&gt;Dashboard!$B$3,F9,Dashboard!$B$3)</f>
        <v>45748</v>
      </c>
      <c r="N9" s="23" cm="1">
        <f t="array" ref="N9">IF(G9&lt;Dashboard!$C$3,G9,Dashboard!$C$3)</f>
        <v>45838</v>
      </c>
      <c r="O9" s="22" cm="1">
        <f t="array" ref="O9">MAX(0,(N9-M9+1))</f>
        <v>91</v>
      </c>
      <c r="P9" s="20" cm="1">
        <f t="array" ref="P9">K9*O9</f>
        <v>1246.5753424657535</v>
      </c>
      <c r="Q9" s="26" cm="1">
        <f t="array" ref="Q9">L9*O9</f>
        <v>24.931506849315067</v>
      </c>
    </row>
    <row r="10" spans="1:17" ht="20" customHeight="1" x14ac:dyDescent="0.15">
      <c r="A10" s="18" t="s">
        <v>38</v>
      </c>
      <c r="B10" s="19" t="s">
        <v>25</v>
      </c>
      <c r="C10" s="20">
        <v>40000</v>
      </c>
      <c r="D10" s="22">
        <v>1000</v>
      </c>
      <c r="E10" s="22">
        <v>0</v>
      </c>
      <c r="F10" s="23">
        <v>45658</v>
      </c>
      <c r="G10" s="23">
        <v>46022</v>
      </c>
      <c r="H10" s="24"/>
      <c r="I10" s="25" t="s">
        <v>26</v>
      </c>
      <c r="J10" s="26" cm="1">
        <f t="array" ref="J10">G10-F10+1</f>
        <v>365</v>
      </c>
      <c r="K10" s="27" cm="1">
        <f t="array" ref="K10">C10/J10</f>
        <v>109.58904109589041</v>
      </c>
      <c r="L10" s="26" cm="1">
        <f t="array" ref="L10">D10/J10</f>
        <v>2.7397260273972601</v>
      </c>
      <c r="M10" s="23" cm="1">
        <f t="array" ref="M10">IF(F10&gt;Dashboard!$B$3,F10,Dashboard!$B$3)</f>
        <v>45748</v>
      </c>
      <c r="N10" s="23" cm="1">
        <f t="array" ref="N10">IF(G10&lt;Dashboard!$C$3,G10,Dashboard!$C$3)</f>
        <v>45838</v>
      </c>
      <c r="O10" s="22" cm="1">
        <f t="array" ref="O10">MAX(0,(N10-M10+1))</f>
        <v>91</v>
      </c>
      <c r="P10" s="20" cm="1">
        <f t="array" ref="P10">K10*O10</f>
        <v>9972.6027397260277</v>
      </c>
      <c r="Q10" s="26" cm="1">
        <f t="array" ref="Q10">L10*O10</f>
        <v>249.31506849315068</v>
      </c>
    </row>
    <row r="11" spans="1:17" ht="20" customHeight="1" x14ac:dyDescent="0.15">
      <c r="A11" s="18" t="s">
        <v>39</v>
      </c>
      <c r="B11" s="19" t="s">
        <v>25</v>
      </c>
      <c r="C11" s="22">
        <v>250000</v>
      </c>
      <c r="D11" s="22">
        <v>1500</v>
      </c>
      <c r="E11" s="24"/>
      <c r="F11" s="23">
        <v>45474</v>
      </c>
      <c r="G11" s="23">
        <v>45808</v>
      </c>
      <c r="H11" s="24"/>
      <c r="I11" s="24"/>
      <c r="J11" s="26" cm="1">
        <f t="array" ref="J11">G11-F11+1</f>
        <v>335</v>
      </c>
      <c r="K11" s="26" cm="1">
        <f t="array" ref="K11">C11/J11</f>
        <v>746.26865671641792</v>
      </c>
      <c r="L11" s="26" cm="1">
        <f t="array" ref="L11">D11/J11</f>
        <v>4.4776119402985071</v>
      </c>
      <c r="M11" s="23" cm="1">
        <f t="array" ref="M11">IF(F11&gt;Dashboard!$B$3,F11,Dashboard!$B$3)</f>
        <v>45748</v>
      </c>
      <c r="N11" s="23" cm="1">
        <f t="array" ref="N11">IF(G11&lt;Dashboard!$C$3,G11,Dashboard!$C$3)</f>
        <v>45808</v>
      </c>
      <c r="O11" s="22" cm="1">
        <f t="array" ref="O11">MAX(0,(N11-M11+1))</f>
        <v>61</v>
      </c>
      <c r="P11" s="20" cm="1">
        <f t="array" ref="P11">K11*O11</f>
        <v>45522.388059701494</v>
      </c>
      <c r="Q11" s="26" cm="1">
        <f t="array" ref="Q11">L11*O11</f>
        <v>273.1343283582089</v>
      </c>
    </row>
    <row r="12" spans="1:17" ht="20" customHeight="1" x14ac:dyDescent="0.15">
      <c r="A12" s="29"/>
      <c r="B12" s="30"/>
      <c r="C12" s="24"/>
      <c r="D12" s="24"/>
      <c r="E12" s="24"/>
      <c r="F12" s="23"/>
      <c r="G12" s="23"/>
      <c r="H12" s="24"/>
      <c r="I12" s="24"/>
      <c r="J12" s="26"/>
      <c r="K12" s="24"/>
      <c r="L12" s="24"/>
      <c r="M12" s="24" cm="1">
        <f t="array" ref="M12">IF(F12&lt;Dashboard!$B$3,F12,Dashboard!$B$3)</f>
        <v>0</v>
      </c>
      <c r="N12" s="24" cm="1">
        <f t="array" ref="N12">IF(G12&lt;Dashboard!$C$3,G12,Dashboard!$C$3)</f>
        <v>0</v>
      </c>
      <c r="O12" s="24"/>
      <c r="P12" s="20" cm="1">
        <f t="array" ref="P12">SUM(P3:P11)</f>
        <v>121935.59900725316</v>
      </c>
      <c r="Q12" s="26" cm="1">
        <f t="array" ref="Q12">SUM(Q3:Q11)</f>
        <v>1885.7524412016207</v>
      </c>
    </row>
    <row r="13" spans="1:17" ht="9.75" customHeight="1" x14ac:dyDescent="0.15">
      <c r="A13" s="31"/>
      <c r="B13" s="32"/>
      <c r="C13" s="33"/>
      <c r="D13" s="33"/>
      <c r="E13" s="33"/>
      <c r="F13" s="34"/>
      <c r="G13" s="34"/>
      <c r="H13" s="33"/>
      <c r="I13" s="33"/>
      <c r="J13" s="35" cm="1">
        <f t="array" ref="J13">G13-F13+1</f>
        <v>1</v>
      </c>
      <c r="K13" s="35" cm="1">
        <f t="array" ref="K13">C13/J13</f>
        <v>0</v>
      </c>
      <c r="L13" s="35" cm="1">
        <f t="array" ref="L13">D13/J13</f>
        <v>0</v>
      </c>
      <c r="M13" s="33" cm="1">
        <f t="array" ref="M13">IF(F13&lt;Dashboard!$B$3,F13,Dashboard!$B$3)</f>
        <v>0</v>
      </c>
      <c r="N13" s="33" cm="1">
        <f t="array" ref="N13">IF(G13&lt;Dashboard!$C$3,G13,Dashboard!$C$3)</f>
        <v>0</v>
      </c>
      <c r="O13" s="33"/>
      <c r="P13" s="33"/>
      <c r="Q13" s="35"/>
    </row>
    <row r="14" spans="1:17" ht="20" customHeight="1" x14ac:dyDescent="0.15">
      <c r="A14" s="18" t="s">
        <v>40</v>
      </c>
      <c r="B14" s="19" t="s">
        <v>41</v>
      </c>
      <c r="C14" s="28">
        <v>10000</v>
      </c>
      <c r="D14" s="22">
        <v>250</v>
      </c>
      <c r="E14" s="22">
        <v>0</v>
      </c>
      <c r="F14" s="23">
        <v>45771</v>
      </c>
      <c r="G14" s="23">
        <v>45859</v>
      </c>
      <c r="H14" s="25" t="s">
        <v>42</v>
      </c>
      <c r="I14" s="25" t="s">
        <v>26</v>
      </c>
      <c r="J14" s="26" cm="1">
        <f t="array" ref="J14">G14-F14+1</f>
        <v>89</v>
      </c>
      <c r="K14" s="27" cm="1">
        <f t="array" ref="K14">C14/J14</f>
        <v>112.35955056179775</v>
      </c>
      <c r="L14" s="26" cm="1">
        <f t="array" ref="L14">D14/J14</f>
        <v>2.808988764044944</v>
      </c>
      <c r="M14" s="23" cm="1">
        <f t="array" ref="M14">IF(F14&gt;Dashboard!$B$3,F14,Dashboard!$B$3)</f>
        <v>45771</v>
      </c>
      <c r="N14" s="23" cm="1">
        <f t="array" ref="N14">IF(G14&lt;Dashboard!$C$3,G14,Dashboard!$C$3)</f>
        <v>45838</v>
      </c>
      <c r="O14" s="22" cm="1">
        <f t="array" ref="O14">MAX(0,(N14-M14+1))</f>
        <v>68</v>
      </c>
      <c r="P14" s="20" cm="1">
        <f t="array" ref="P14">K14*O14</f>
        <v>7640.4494382022467</v>
      </c>
      <c r="Q14" s="26" cm="1">
        <f t="array" ref="Q14">L14*O14</f>
        <v>191.01123595505618</v>
      </c>
    </row>
    <row r="15" spans="1:17" ht="20" customHeight="1" x14ac:dyDescent="0.15">
      <c r="A15" s="18" t="s">
        <v>43</v>
      </c>
      <c r="B15" s="19" t="s">
        <v>41</v>
      </c>
      <c r="C15" s="22">
        <v>60000</v>
      </c>
      <c r="D15" s="22">
        <v>1800</v>
      </c>
      <c r="E15" s="24"/>
      <c r="F15" s="23">
        <v>45726</v>
      </c>
      <c r="G15" s="23">
        <v>46203</v>
      </c>
      <c r="H15" s="24"/>
      <c r="I15" s="24"/>
      <c r="J15" s="26" cm="1">
        <f t="array" ref="J15">G15-F15+1</f>
        <v>478</v>
      </c>
      <c r="K15" s="26" cm="1">
        <f t="array" ref="K15">C15/J15</f>
        <v>125.52301255230125</v>
      </c>
      <c r="L15" s="26" cm="1">
        <f t="array" ref="L15">D15/J15</f>
        <v>3.7656903765690375</v>
      </c>
      <c r="M15" s="23" cm="1">
        <f t="array" ref="M15">IF(F15&gt;Dashboard!$B$3,F15,Dashboard!$B$3)</f>
        <v>45748</v>
      </c>
      <c r="N15" s="23" cm="1">
        <f t="array" ref="N15">IF(G15&lt;Dashboard!$C$3,G15,Dashboard!$C$3)</f>
        <v>45838</v>
      </c>
      <c r="O15" s="22" cm="1">
        <f t="array" ref="O15">MAX(0,(N15-M15+1))</f>
        <v>91</v>
      </c>
      <c r="P15" s="20" cm="1">
        <f t="array" ref="P15">K15*O15</f>
        <v>11422.594142259413</v>
      </c>
      <c r="Q15" s="26" cm="1">
        <f t="array" ref="Q15">L15*O15</f>
        <v>342.6778242677824</v>
      </c>
    </row>
    <row r="16" spans="1:17" ht="20" customHeight="1" x14ac:dyDescent="0.15">
      <c r="A16" s="29"/>
      <c r="B16" s="30"/>
      <c r="C16" s="24"/>
      <c r="D16" s="24"/>
      <c r="E16" s="24"/>
      <c r="F16" s="23"/>
      <c r="G16" s="23"/>
      <c r="H16" s="24"/>
      <c r="I16" s="24"/>
      <c r="J16" s="26" cm="1">
        <f t="array" ref="J16">G16-F16+1</f>
        <v>1</v>
      </c>
      <c r="K16" s="26" cm="1">
        <f t="array" ref="K16">C16/J16</f>
        <v>0</v>
      </c>
      <c r="L16" s="26" cm="1">
        <f t="array" ref="L16">D16/J16</f>
        <v>0</v>
      </c>
      <c r="M16" s="24" cm="1">
        <f t="array" ref="M16">IF(F16&lt;Dashboard!$B$3,F16,Dashboard!$B$3)</f>
        <v>0</v>
      </c>
      <c r="N16" s="24" cm="1">
        <f t="array" ref="N16">IF(G16&lt;Dashboard!$C$3,G16,Dashboard!$C$3)</f>
        <v>0</v>
      </c>
      <c r="O16" s="22" cm="1">
        <f t="array" ref="O16">SUM(O14)</f>
        <v>68</v>
      </c>
      <c r="P16" s="20" cm="1">
        <f t="array" ref="P16">SUM(P14:P15)</f>
        <v>19063.043580461661</v>
      </c>
      <c r="Q16" s="26" cm="1">
        <f t="array" ref="Q16">SUM(Q14:Q15)</f>
        <v>533.68906022283863</v>
      </c>
    </row>
    <row r="17" spans="1:17" ht="8.5" customHeight="1" x14ac:dyDescent="0.15">
      <c r="A17" s="31"/>
      <c r="B17" s="32"/>
      <c r="C17" s="33"/>
      <c r="D17" s="33"/>
      <c r="E17" s="33"/>
      <c r="F17" s="34"/>
      <c r="G17" s="34"/>
      <c r="H17" s="33"/>
      <c r="I17" s="33"/>
      <c r="J17" s="35" cm="1">
        <f t="array" ref="J17">G17-F17+1</f>
        <v>1</v>
      </c>
      <c r="K17" s="35" cm="1">
        <f t="array" ref="K17">C17/J17</f>
        <v>0</v>
      </c>
      <c r="L17" s="35" cm="1">
        <f t="array" ref="L17">D17/J17</f>
        <v>0</v>
      </c>
      <c r="M17" s="33" cm="1">
        <f t="array" ref="M17">IF(F17&lt;Dashboard!$B$3,F17,Dashboard!$B$3)</f>
        <v>0</v>
      </c>
      <c r="N17" s="33" cm="1">
        <f t="array" ref="N17">IF(G17&lt;Dashboard!$C$3,G17,Dashboard!$C$3)</f>
        <v>0</v>
      </c>
      <c r="O17" s="33"/>
      <c r="P17" s="33"/>
      <c r="Q17" s="35"/>
    </row>
    <row r="18" spans="1:17" ht="20" customHeight="1" x14ac:dyDescent="0.15">
      <c r="A18" s="18" t="s">
        <v>44</v>
      </c>
      <c r="B18" s="19" t="s">
        <v>45</v>
      </c>
      <c r="C18" s="20">
        <v>30000</v>
      </c>
      <c r="D18" s="22">
        <v>200</v>
      </c>
      <c r="E18" s="22">
        <v>0</v>
      </c>
      <c r="F18" s="23">
        <v>45670</v>
      </c>
      <c r="G18" s="23">
        <v>45716</v>
      </c>
      <c r="H18" s="24"/>
      <c r="I18" s="25" t="s">
        <v>26</v>
      </c>
      <c r="J18" s="26" cm="1">
        <f t="array" ref="J18">G18-F18+1</f>
        <v>47</v>
      </c>
      <c r="K18" s="27" cm="1">
        <f t="array" ref="K18">C18/J18</f>
        <v>638.29787234042556</v>
      </c>
      <c r="L18" s="26" cm="1">
        <f t="array" ref="L18">D18/J18</f>
        <v>4.2553191489361701</v>
      </c>
      <c r="M18" s="23" cm="1">
        <f t="array" ref="M18">IF(F18&gt;Dashboard!$B$3,F18,Dashboard!$B$3)</f>
        <v>45748</v>
      </c>
      <c r="N18" s="23" cm="1">
        <f t="array" ref="N18">IF(G18&lt;Dashboard!$C$3,G18,Dashboard!$C$3)</f>
        <v>45716</v>
      </c>
      <c r="O18" s="22" cm="1">
        <f t="array" ref="O18">MAX(0,(N18-M18+1))</f>
        <v>0</v>
      </c>
      <c r="P18" s="20" cm="1">
        <f t="array" ref="P18">K18*O18</f>
        <v>0</v>
      </c>
      <c r="Q18" s="26" cm="1">
        <f t="array" ref="Q18">L18*O18</f>
        <v>0</v>
      </c>
    </row>
    <row r="19" spans="1:17" ht="20" customHeight="1" x14ac:dyDescent="0.15">
      <c r="A19" s="18" t="s">
        <v>46</v>
      </c>
      <c r="B19" s="19" t="s">
        <v>45</v>
      </c>
      <c r="C19" s="20">
        <v>15000</v>
      </c>
      <c r="D19" s="22">
        <v>250</v>
      </c>
      <c r="E19" s="24"/>
      <c r="F19" s="23">
        <v>45566</v>
      </c>
      <c r="G19" s="23">
        <v>45764</v>
      </c>
      <c r="H19" s="24"/>
      <c r="I19" s="25" t="s">
        <v>26</v>
      </c>
      <c r="J19" s="26" cm="1">
        <f t="array" ref="J19">G19-F19+1</f>
        <v>199</v>
      </c>
      <c r="K19" s="20" cm="1">
        <f t="array" ref="K19">C19/J19</f>
        <v>75.37688442211055</v>
      </c>
      <c r="L19" s="26" cm="1">
        <f t="array" ref="L19">D19/J19</f>
        <v>1.256281407035176</v>
      </c>
      <c r="M19" s="23" cm="1">
        <f t="array" ref="M19">IF(F19&gt;Dashboard!$B$3,F19,Dashboard!$B$3)</f>
        <v>45748</v>
      </c>
      <c r="N19" s="23" cm="1">
        <f t="array" ref="N19">IF(G19&lt;Dashboard!$C$3,G19,Dashboard!$C$3)</f>
        <v>45764</v>
      </c>
      <c r="O19" s="22" cm="1">
        <f t="array" ref="O19">MAX(0,(N19-M19+1))</f>
        <v>17</v>
      </c>
      <c r="P19" s="20" cm="1">
        <f t="array" ref="P19">K19*O19</f>
        <v>1281.4070351758794</v>
      </c>
      <c r="Q19" s="26" cm="1">
        <f t="array" ref="Q19">L19*O19</f>
        <v>21.356783919597991</v>
      </c>
    </row>
    <row r="20" spans="1:17" ht="20" customHeight="1" x14ac:dyDescent="0.15">
      <c r="A20" s="29"/>
      <c r="B20" s="30"/>
      <c r="C20" s="24"/>
      <c r="D20" s="24"/>
      <c r="E20" s="24"/>
      <c r="F20" s="23"/>
      <c r="G20" s="23"/>
      <c r="H20" s="24"/>
      <c r="I20" s="24"/>
      <c r="J20" s="25" t="s">
        <v>47</v>
      </c>
      <c r="K20" s="25" t="s">
        <v>47</v>
      </c>
      <c r="L20" s="25" t="s">
        <v>47</v>
      </c>
      <c r="M20" s="24" cm="1">
        <f t="array" ref="M20">IF(F20&lt;Dashboard!$B$3,F20,Dashboard!$B$3)</f>
        <v>0</v>
      </c>
      <c r="N20" s="24" cm="1">
        <f t="array" ref="N20">IF(G20&lt;Dashboard!$C$3,G20,Dashboard!$C$3)</f>
        <v>0</v>
      </c>
      <c r="O20" s="22">
        <f>SUM(O18:O19)</f>
        <v>17</v>
      </c>
      <c r="P20" s="20">
        <f>SUM(P18:P19)</f>
        <v>1281.4070351758794</v>
      </c>
      <c r="Q20" s="26">
        <f>SUM(Q18:Q19)</f>
        <v>21.356783919597991</v>
      </c>
    </row>
    <row r="21" spans="1:17" ht="8.25" customHeight="1" x14ac:dyDescent="0.15">
      <c r="A21" s="31"/>
      <c r="B21" s="32"/>
      <c r="C21" s="33"/>
      <c r="D21" s="33"/>
      <c r="E21" s="33"/>
      <c r="F21" s="34"/>
      <c r="G21" s="34"/>
      <c r="H21" s="33"/>
      <c r="I21" s="33"/>
      <c r="J21" s="33"/>
      <c r="K21" s="33"/>
      <c r="L21" s="33"/>
      <c r="M21" s="33" cm="1">
        <f t="array" ref="M21">IF(F21&lt;Dashboard!$B$3,F21,Dashboard!$B$3)</f>
        <v>0</v>
      </c>
      <c r="N21" s="33" cm="1">
        <f t="array" ref="N21">IF(G21&lt;Dashboard!$C$3,G21,Dashboard!$C$3)</f>
        <v>0</v>
      </c>
      <c r="O21" s="33"/>
      <c r="P21" s="33"/>
      <c r="Q21" s="35"/>
    </row>
    <row r="22" spans="1:17" ht="20" customHeight="1" x14ac:dyDescent="0.15">
      <c r="A22" s="18" t="s">
        <v>48</v>
      </c>
      <c r="B22" s="19" t="s">
        <v>49</v>
      </c>
      <c r="C22" s="28">
        <v>5000</v>
      </c>
      <c r="D22" s="22">
        <v>100</v>
      </c>
      <c r="E22" s="22">
        <v>0</v>
      </c>
      <c r="F22" s="23">
        <v>45887</v>
      </c>
      <c r="G22" s="23">
        <v>45930</v>
      </c>
      <c r="H22" s="25" t="s">
        <v>50</v>
      </c>
      <c r="I22" s="24"/>
      <c r="J22" s="26" cm="1">
        <f t="array" ref="J22">G22-F22+1</f>
        <v>44</v>
      </c>
      <c r="K22" s="27" cm="1">
        <f t="array" ref="K22">C22/J22</f>
        <v>113.63636363636364</v>
      </c>
      <c r="L22" s="26" cm="1">
        <f t="array" ref="L22">D22/J22</f>
        <v>2.2727272727272729</v>
      </c>
      <c r="M22" s="23" cm="1">
        <f t="array" ref="M22">IF(F22&gt;Dashboard!$B$3,F22,Dashboard!$B$3)</f>
        <v>45887</v>
      </c>
      <c r="N22" s="23" cm="1">
        <f t="array" ref="N22">IF(G22&lt;Dashboard!$C$3,G22,Dashboard!$C$3)</f>
        <v>45838</v>
      </c>
      <c r="O22" s="22" cm="1">
        <f t="array" ref="O22">MAX(0,(N22-M22+1))</f>
        <v>0</v>
      </c>
      <c r="P22" s="20" cm="1">
        <f t="array" ref="P22">K22*O22</f>
        <v>0</v>
      </c>
      <c r="Q22" s="26" cm="1">
        <f t="array" ref="Q22">L22*O22</f>
        <v>0</v>
      </c>
    </row>
    <row r="23" spans="1:17" ht="20" customHeight="1" x14ac:dyDescent="0.15">
      <c r="A23" s="18" t="s">
        <v>51</v>
      </c>
      <c r="B23" s="19" t="s">
        <v>49</v>
      </c>
      <c r="C23" s="28">
        <v>30000</v>
      </c>
      <c r="D23" s="22">
        <v>800</v>
      </c>
      <c r="E23" s="22">
        <v>0</v>
      </c>
      <c r="F23" s="23">
        <v>45839</v>
      </c>
      <c r="G23" s="23">
        <v>46022</v>
      </c>
      <c r="H23" s="25" t="s">
        <v>52</v>
      </c>
      <c r="I23" s="24"/>
      <c r="J23" s="26" cm="1">
        <f t="array" ref="J23">G23-F23+1</f>
        <v>184</v>
      </c>
      <c r="K23" s="27" cm="1">
        <f t="array" ref="K23">C23/J23</f>
        <v>163.04347826086956</v>
      </c>
      <c r="L23" s="26" cm="1">
        <f t="array" ref="L23">D23/J23</f>
        <v>4.3478260869565215</v>
      </c>
      <c r="M23" s="23" cm="1">
        <f t="array" ref="M23">IF(F23&gt;Dashboard!$B$3,F23,Dashboard!$B$3)</f>
        <v>45839</v>
      </c>
      <c r="N23" s="23" cm="1">
        <f t="array" ref="N23">IF(G23&lt;Dashboard!$C$3,G23,Dashboard!$C$3)</f>
        <v>45838</v>
      </c>
      <c r="O23" s="22" cm="1">
        <f t="array" ref="O23">MAX(0,(N23-M23+1))</f>
        <v>0</v>
      </c>
      <c r="P23" s="20" cm="1">
        <f t="array" ref="P23">K23*O23</f>
        <v>0</v>
      </c>
      <c r="Q23" s="26" cm="1">
        <f t="array" ref="Q23">L23*O23</f>
        <v>0</v>
      </c>
    </row>
    <row r="24" spans="1:17" ht="20" customHeight="1" x14ac:dyDescent="0.15">
      <c r="A24" s="18" t="s">
        <v>53</v>
      </c>
      <c r="B24" s="19" t="s">
        <v>49</v>
      </c>
      <c r="C24" s="28">
        <v>10000</v>
      </c>
      <c r="D24" s="22">
        <v>500</v>
      </c>
      <c r="E24" s="22">
        <v>0</v>
      </c>
      <c r="F24" s="23">
        <v>45809</v>
      </c>
      <c r="G24" s="23">
        <v>45900</v>
      </c>
      <c r="H24" s="24"/>
      <c r="I24" s="24"/>
      <c r="J24" s="26" cm="1">
        <f t="array" ref="J24">G24-F24+1</f>
        <v>92</v>
      </c>
      <c r="K24" s="27" cm="1">
        <f t="array" ref="K24">C24/J24</f>
        <v>108.69565217391305</v>
      </c>
      <c r="L24" s="26" cm="1">
        <f t="array" ref="L24">D24/J24</f>
        <v>5.4347826086956523</v>
      </c>
      <c r="M24" s="23" cm="1">
        <f t="array" ref="M24">IF(F24&gt;Dashboard!$B$3,F24,Dashboard!$B$3)</f>
        <v>45809</v>
      </c>
      <c r="N24" s="23" cm="1">
        <f t="array" ref="N24">IF(G24&lt;Dashboard!$C$3,G24,Dashboard!$C$3)</f>
        <v>45838</v>
      </c>
      <c r="O24" s="22" cm="1">
        <f t="array" ref="O24">MAX(0,(N24-M24+1))</f>
        <v>30</v>
      </c>
      <c r="P24" s="20" cm="1">
        <f t="array" ref="P24">K24*O24</f>
        <v>3260.8695652173915</v>
      </c>
      <c r="Q24" s="26" cm="1">
        <f t="array" ref="Q24">L24*O24</f>
        <v>163.04347826086956</v>
      </c>
    </row>
    <row r="25" spans="1:17" ht="20" customHeight="1" x14ac:dyDescent="0.15">
      <c r="A25" s="18" t="s">
        <v>54</v>
      </c>
      <c r="B25" s="19" t="s">
        <v>49</v>
      </c>
      <c r="C25" s="28">
        <v>10000</v>
      </c>
      <c r="D25" s="22">
        <v>250</v>
      </c>
      <c r="E25" s="22">
        <v>0</v>
      </c>
      <c r="F25" s="23">
        <v>45791</v>
      </c>
      <c r="G25" s="23">
        <v>45838</v>
      </c>
      <c r="H25" s="25" t="s">
        <v>55</v>
      </c>
      <c r="I25" s="24"/>
      <c r="J25" s="26" cm="1">
        <f t="array" ref="J25">G25-F25+1</f>
        <v>48</v>
      </c>
      <c r="K25" s="27" cm="1">
        <f t="array" ref="K25">C25/J25</f>
        <v>208.33333333333334</v>
      </c>
      <c r="L25" s="26" cm="1">
        <f t="array" ref="L25">D25/J25</f>
        <v>5.208333333333333</v>
      </c>
      <c r="M25" s="23" cm="1">
        <f t="array" ref="M25">IF(F25&gt;Dashboard!$B$3,F25,Dashboard!$B$3)</f>
        <v>45791</v>
      </c>
      <c r="N25" s="23" cm="1">
        <f t="array" ref="N25">IF(G25&lt;Dashboard!$C$3,G25,Dashboard!$C$3)</f>
        <v>45838</v>
      </c>
      <c r="O25" s="22" cm="1">
        <f t="array" ref="O25">MAX(0,(N25-M25+1))</f>
        <v>48</v>
      </c>
      <c r="P25" s="20" cm="1">
        <f t="array" ref="P25">K25*O25</f>
        <v>10000</v>
      </c>
      <c r="Q25" s="26" cm="1">
        <f t="array" ref="Q25">L25*O25</f>
        <v>250</v>
      </c>
    </row>
    <row r="26" spans="1:17" ht="20" customHeight="1" x14ac:dyDescent="0.15">
      <c r="A26" s="29"/>
      <c r="B26" s="30"/>
      <c r="C26" s="24"/>
      <c r="D26" s="24"/>
      <c r="E26" s="24"/>
      <c r="F26" s="23"/>
      <c r="G26" s="23"/>
      <c r="H26" s="24"/>
      <c r="I26" s="24"/>
      <c r="J26" s="25" t="s">
        <v>47</v>
      </c>
      <c r="K26" s="25" t="s">
        <v>47</v>
      </c>
      <c r="L26" s="25" t="s">
        <v>47</v>
      </c>
      <c r="M26" s="24" cm="1">
        <f t="array" ref="M26">IF(F26&lt;Dashboard!$B$3,F26,Dashboard!$B$3)</f>
        <v>0</v>
      </c>
      <c r="N26" s="24" cm="1">
        <f t="array" ref="N26">IF(G26&lt;Dashboard!$C$3,G26,Dashboard!$C$3)</f>
        <v>0</v>
      </c>
      <c r="O26" s="22" cm="1">
        <f t="array" ref="O26">SUM(O22:O25)</f>
        <v>78</v>
      </c>
      <c r="P26" s="20" cm="1">
        <f t="array" ref="P26">SUM(P22:P25)</f>
        <v>13260.869565217392</v>
      </c>
      <c r="Q26" s="26" cm="1">
        <f t="array" ref="Q26">SUM(Q22:Q25)</f>
        <v>413.04347826086956</v>
      </c>
    </row>
  </sheetData>
  <mergeCells count="1">
    <mergeCell ref="A1:Q1"/>
  </mergeCell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1"/>
  <sheetViews>
    <sheetView showGridLines="0" tabSelected="1" workbookViewId="0">
      <pane xSplit="1" ySplit="2" topLeftCell="B3" activePane="bottomRight" state="frozen"/>
      <selection pane="topRight"/>
      <selection pane="bottomLeft"/>
      <selection pane="bottomRight" activeCell="E16" sqref="E16"/>
    </sheetView>
  </sheetViews>
  <sheetFormatPr baseColWidth="10" defaultColWidth="16.33203125" defaultRowHeight="20" customHeight="1" x14ac:dyDescent="0.15"/>
  <cols>
    <col min="1" max="1" width="16.33203125" style="36" customWidth="1"/>
    <col min="2" max="2" width="10.33203125" style="36" customWidth="1"/>
    <col min="3" max="3" width="10.1640625" style="36" customWidth="1"/>
    <col min="4" max="4" width="8.5" style="36" customWidth="1"/>
    <col min="5" max="5" width="12.1640625" style="36" customWidth="1"/>
    <col min="6" max="8" width="11.33203125" style="36" customWidth="1"/>
    <col min="9" max="10" width="9" style="36" customWidth="1"/>
    <col min="11" max="12" width="10.5" style="36" customWidth="1"/>
    <col min="13" max="13" width="6.83203125" style="36" customWidth="1"/>
    <col min="14" max="14" width="7.5" style="36" customWidth="1"/>
    <col min="15" max="15" width="16.33203125" style="36" customWidth="1"/>
    <col min="16" max="16384" width="16.33203125" style="36"/>
  </cols>
  <sheetData>
    <row r="1" spans="1:14" ht="27.75" customHeight="1" x14ac:dyDescent="0.15">
      <c r="A1" s="57" t="s">
        <v>57</v>
      </c>
      <c r="B1" s="57"/>
      <c r="C1" s="57"/>
      <c r="D1" s="57"/>
      <c r="E1" s="57"/>
      <c r="F1" s="57"/>
      <c r="G1" s="57"/>
      <c r="H1" s="57"/>
      <c r="I1" s="57"/>
      <c r="J1" s="57"/>
      <c r="K1" s="57"/>
      <c r="L1" s="57"/>
      <c r="M1" s="57"/>
      <c r="N1" s="57"/>
    </row>
    <row r="2" spans="1:14" ht="32.25" customHeight="1" x14ac:dyDescent="0.15">
      <c r="A2" s="37"/>
      <c r="B2" s="38" t="s">
        <v>58</v>
      </c>
      <c r="C2" s="38" t="s">
        <v>59</v>
      </c>
      <c r="D2" s="38" t="s">
        <v>60</v>
      </c>
      <c r="E2" s="38" t="s">
        <v>61</v>
      </c>
      <c r="F2" s="38" t="s">
        <v>62</v>
      </c>
      <c r="G2" s="38" t="s">
        <v>63</v>
      </c>
      <c r="H2" s="38" t="s">
        <v>64</v>
      </c>
      <c r="I2" s="38" t="s">
        <v>65</v>
      </c>
      <c r="J2" s="38" t="s">
        <v>66</v>
      </c>
      <c r="K2" s="38" t="s">
        <v>67</v>
      </c>
      <c r="L2" s="38" t="s">
        <v>68</v>
      </c>
      <c r="M2" s="38" t="s">
        <v>69</v>
      </c>
      <c r="N2" s="38" t="s">
        <v>70</v>
      </c>
    </row>
    <row r="3" spans="1:14" ht="20.25" customHeight="1" x14ac:dyDescent="0.15">
      <c r="A3" s="39" t="s">
        <v>71</v>
      </c>
      <c r="B3" s="40">
        <v>45748</v>
      </c>
      <c r="C3" s="41">
        <v>45838</v>
      </c>
      <c r="D3" s="42" cm="1">
        <f t="array" ref="D3">C3-B3+1</f>
        <v>91</v>
      </c>
      <c r="E3" s="43">
        <v>350000</v>
      </c>
      <c r="F3" s="44" cm="1">
        <f t="array" ref="F3">E3/365*D3</f>
        <v>87260.273972602736</v>
      </c>
      <c r="G3" s="44" cm="1">
        <f t="array" ref="G3">C11</f>
        <v>155540.91918810809</v>
      </c>
      <c r="H3" s="44" cm="1">
        <f t="array" ref="H3">F3-C11</f>
        <v>-68280.645215505356</v>
      </c>
      <c r="I3" s="45">
        <v>15000</v>
      </c>
      <c r="J3" s="46" cm="1">
        <f t="array" ref="J3">D11</f>
        <v>2853.8417636049267</v>
      </c>
      <c r="K3" s="46" cm="1">
        <f t="array" ref="K3">I3/365*D3</f>
        <v>3739.7260273972602</v>
      </c>
      <c r="L3" s="46" cm="1">
        <f t="array" ref="L3">I3-K3</f>
        <v>11260.273972602739</v>
      </c>
      <c r="M3" s="47" cm="1">
        <f t="array" ref="M3">C11/F3</f>
        <v>1.7824940503503754</v>
      </c>
      <c r="N3" s="47" cm="1">
        <f t="array" ref="N3">D11/I3</f>
        <v>0.19025611757366179</v>
      </c>
    </row>
    <row r="4" spans="1:14" ht="20" customHeight="1" x14ac:dyDescent="0.15">
      <c r="A4" s="48"/>
      <c r="B4" s="49"/>
      <c r="C4" s="50"/>
      <c r="D4" s="50"/>
      <c r="E4" s="50"/>
      <c r="F4" s="50"/>
      <c r="G4" s="50"/>
      <c r="H4" s="50"/>
      <c r="I4" s="50"/>
      <c r="J4" s="50"/>
      <c r="K4" s="50"/>
      <c r="L4" s="50"/>
      <c r="M4" s="50"/>
      <c r="N4" s="50"/>
    </row>
    <row r="5" spans="1:14" ht="20" customHeight="1" x14ac:dyDescent="0.15">
      <c r="A5" s="48"/>
      <c r="B5" s="51" t="s">
        <v>72</v>
      </c>
      <c r="C5" s="52" t="s">
        <v>9</v>
      </c>
      <c r="D5" s="52" t="s">
        <v>10</v>
      </c>
      <c r="E5" s="50"/>
      <c r="F5" s="50"/>
      <c r="G5" s="50"/>
      <c r="H5" s="50"/>
      <c r="I5" s="50"/>
      <c r="J5" s="50"/>
      <c r="K5" s="50"/>
      <c r="L5" s="50"/>
      <c r="M5" s="50"/>
      <c r="N5" s="50"/>
    </row>
    <row r="6" spans="1:14" ht="20" customHeight="1" x14ac:dyDescent="0.15">
      <c r="A6" s="53" t="s">
        <v>49</v>
      </c>
      <c r="B6" s="54" cm="1">
        <f t="array" ref="B6">COUNTIF('Projects - projects-export-2025'!Q22:Q25,"&gt;0")</f>
        <v>2</v>
      </c>
      <c r="C6" s="55" cm="1">
        <f t="array" ref="C6">'Projects - projects-export-2025'!P26</f>
        <v>13260.869565217392</v>
      </c>
      <c r="D6" s="56" cm="1">
        <f t="array" ref="D6">'Projects - projects-export-2025'!Q26</f>
        <v>413.04347826086956</v>
      </c>
      <c r="E6" s="50"/>
      <c r="F6" s="50"/>
      <c r="G6" s="50"/>
      <c r="H6" s="50"/>
      <c r="I6" s="50"/>
      <c r="J6" s="50"/>
      <c r="K6" s="50"/>
      <c r="L6" s="50"/>
      <c r="M6" s="50"/>
      <c r="N6" s="50"/>
    </row>
    <row r="7" spans="1:14" ht="20" customHeight="1" x14ac:dyDescent="0.15">
      <c r="A7" s="53" t="s">
        <v>41</v>
      </c>
      <c r="B7" s="54" cm="1">
        <f t="array" ref="B7">COUNTIF('Projects - projects-export-2025'!Q14:Q15,"&gt;0")</f>
        <v>2</v>
      </c>
      <c r="C7" s="55" cm="1">
        <f t="array" ref="C7">'Projects - projects-export-2025'!P16</f>
        <v>19063.043580461661</v>
      </c>
      <c r="D7" s="56" cm="1">
        <f t="array" ref="D7">'Projects - projects-export-2025'!Q16</f>
        <v>533.68906022283863</v>
      </c>
      <c r="E7" s="50"/>
      <c r="F7" s="50"/>
      <c r="G7" s="50"/>
      <c r="H7" s="50"/>
      <c r="I7" s="50"/>
      <c r="J7" s="50"/>
      <c r="K7" s="50"/>
      <c r="L7" s="50"/>
      <c r="M7" s="50"/>
      <c r="N7" s="50"/>
    </row>
    <row r="8" spans="1:14" ht="20" customHeight="1" x14ac:dyDescent="0.15">
      <c r="A8" s="53" t="s">
        <v>25</v>
      </c>
      <c r="B8" s="54" cm="1">
        <f t="array" ref="B8">COUNTIF('Projects - projects-export-2025'!Q3:Q11,"&gt;0")</f>
        <v>9</v>
      </c>
      <c r="C8" s="55" cm="1">
        <f t="array" ref="C8">'Projects - projects-export-2025'!P12</f>
        <v>121935.59900725316</v>
      </c>
      <c r="D8" s="56" cm="1">
        <f t="array" ref="D8">'Projects - projects-export-2025'!Q12</f>
        <v>1885.7524412016207</v>
      </c>
      <c r="E8" s="50"/>
      <c r="F8" s="50"/>
      <c r="G8" s="50"/>
      <c r="H8" s="50"/>
      <c r="I8" s="50"/>
      <c r="J8" s="50"/>
      <c r="K8" s="50"/>
      <c r="L8" s="50"/>
      <c r="M8" s="50"/>
      <c r="N8" s="50"/>
    </row>
    <row r="9" spans="1:14" ht="20" customHeight="1" x14ac:dyDescent="0.15">
      <c r="A9" s="53" t="s">
        <v>45</v>
      </c>
      <c r="B9" s="54">
        <f>COUNTIF('Projects - projects-export-2025'!Q18:Q19,"&gt;0")</f>
        <v>1</v>
      </c>
      <c r="C9" s="55" cm="1">
        <f t="array" ref="C9">'Projects - projects-export-2025'!P20</f>
        <v>1281.4070351758794</v>
      </c>
      <c r="D9" s="56" cm="1">
        <f t="array" ref="D9">'Projects - projects-export-2025'!Q20</f>
        <v>21.356783919597991</v>
      </c>
      <c r="E9" s="50"/>
      <c r="F9" s="50"/>
      <c r="G9" s="50"/>
      <c r="H9" s="50"/>
      <c r="I9" s="50"/>
      <c r="J9" s="50"/>
      <c r="K9" s="50"/>
      <c r="L9" s="50"/>
      <c r="M9" s="50"/>
      <c r="N9" s="50"/>
    </row>
    <row r="10" spans="1:14" ht="20" customHeight="1" x14ac:dyDescent="0.15">
      <c r="A10" s="48"/>
      <c r="B10" s="49"/>
      <c r="C10" s="50"/>
      <c r="D10" s="50"/>
      <c r="E10" s="50"/>
      <c r="F10" s="50"/>
      <c r="G10" s="50"/>
      <c r="H10" s="50"/>
      <c r="I10" s="50"/>
      <c r="J10" s="50"/>
      <c r="K10" s="50"/>
      <c r="L10" s="50"/>
      <c r="M10" s="50"/>
      <c r="N10" s="50"/>
    </row>
    <row r="11" spans="1:14" ht="20" customHeight="1" x14ac:dyDescent="0.15">
      <c r="A11" s="53" t="s">
        <v>73</v>
      </c>
      <c r="B11" s="49"/>
      <c r="C11" s="55" cm="1">
        <f t="array" ref="C11">SUM(C6:C9)</f>
        <v>155540.91918810809</v>
      </c>
      <c r="D11" s="56" cm="1">
        <f t="array" ref="D11">SUM(D6:D9)</f>
        <v>2853.8417636049267</v>
      </c>
      <c r="E11" s="50"/>
      <c r="F11" s="50"/>
      <c r="G11" s="50"/>
      <c r="H11" s="50"/>
      <c r="I11" s="50"/>
      <c r="J11" s="50"/>
      <c r="K11" s="50"/>
      <c r="L11" s="50"/>
      <c r="M11" s="50"/>
      <c r="N11" s="50"/>
    </row>
  </sheetData>
  <mergeCells count="1">
    <mergeCell ref="A1:N1"/>
  </mergeCells>
  <conditionalFormatting sqref="M3">
    <cfRule type="cellIs" dxfId="2" priority="1" stopIfTrue="1" operator="greaterThan">
      <formula>1.1</formula>
    </cfRule>
    <cfRule type="cellIs" dxfId="1" priority="2" stopIfTrue="1" operator="greaterThan">
      <formula>0.95</formula>
    </cfRule>
  </conditionalFormatting>
  <conditionalFormatting sqref="M3:N3">
    <cfRule type="cellIs" dxfId="0" priority="3" stopIfTrue="1" operator="lessThanOrEqual">
      <formula>0.95</formula>
    </cfRule>
  </conditionalFormatting>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Projects - projects-export-2025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Glen Hicks</cp:lastModifiedBy>
  <dcterms:modified xsi:type="dcterms:W3CDTF">2026-02-18T17:11:35Z</dcterms:modified>
</cp:coreProperties>
</file>